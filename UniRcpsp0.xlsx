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3eb667b14081b2d/Desktop/Uni A/UniRcpsp/"/>
    </mc:Choice>
  </mc:AlternateContent>
  <xr:revisionPtr revIDLastSave="38" documentId="11_F25DC773A252ABDACC104878E15C4A445ADE58E8" xr6:coauthVersionLast="47" xr6:coauthVersionMax="47" xr10:uidLastSave="{A51E576F-94AB-49D9-8035-33E3132BC755}"/>
  <bookViews>
    <workbookView xWindow="-108" yWindow="-108" windowWidth="23256" windowHeight="12576" activeTab="3" xr2:uid="{00000000-000D-0000-FFFF-FFFF00000000}"/>
  </bookViews>
  <sheets>
    <sheet name="TVM" sheetId="1" r:id="rId1"/>
    <sheet name="Sheet2" sheetId="3" r:id="rId2"/>
    <sheet name="j309-3" sheetId="2" r:id="rId3"/>
    <sheet name="mm" sheetId="4" r:id="rId4"/>
    <sheet name="c159-2" sheetId="5" r:id="rId5"/>
  </sheets>
  <definedNames>
    <definedName name="Cost">TVM!$I$5:$I$14</definedName>
    <definedName name="Durations">TVM!$C$5:$C$14</definedName>
    <definedName name="Horizon">TVM!$A$12</definedName>
    <definedName name="InfR">TVM!$M$5:$M$64</definedName>
    <definedName name="IntR">TVM!$L$5:$L$64</definedName>
    <definedName name="maxRes">TVM!$P$5:$P$6</definedName>
    <definedName name="mmduration">mm!$L$4:$N$13</definedName>
    <definedName name="mmhorizon">mm!$A$11</definedName>
    <definedName name="mmkind">mm!$A$2</definedName>
    <definedName name="mmmrn">mm!$AC$4:$AC$5</definedName>
    <definedName name="mmmrnn">mm!$AF$4:$AF$5</definedName>
    <definedName name="mmnmode">mm!$A$8</definedName>
    <definedName name="mmnnrr">mm!$A$17</definedName>
    <definedName name="mmnrr">mm!$A$14</definedName>
    <definedName name="mmntask">mm!$A$5</definedName>
    <definedName name="mmpd">mm!$Q$4:$Z$13</definedName>
    <definedName name="mmtempk">mm!$AU$6:$AU$65</definedName>
    <definedName name="mmtempn">mm!$AP$6:$AP$65</definedName>
    <definedName name="mmtempr">mm!$AK$6:$AK$65</definedName>
    <definedName name="nActivities">TVM!$A$6</definedName>
    <definedName name="nResource">TVM!$A$9</definedName>
    <definedName name="Pre">TVM!$U$5:$AD$14</definedName>
    <definedName name="ReqRes">TVM!$D$5:$E$14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4" l="1" a="1"/>
  <c r="N1" i="4" s="1"/>
  <c r="M1" i="4" a="1"/>
  <c r="M1" i="4"/>
  <c r="L1" i="4" a="1"/>
  <c r="L1" i="4" s="1"/>
  <c r="A2" i="4"/>
  <c r="AU6" i="4" a="1"/>
  <c r="AU6" i="4" s="1"/>
  <c r="AP6" i="4" a="1"/>
  <c r="AP6" i="4" s="1"/>
  <c r="AK6" i="4" a="1"/>
  <c r="AK6" i="4" s="1"/>
  <c r="AF54" i="4"/>
  <c r="AF55" i="4"/>
  <c r="AF56" i="4"/>
  <c r="AF57" i="4"/>
  <c r="AF58" i="4"/>
  <c r="AF59" i="4"/>
  <c r="AF60" i="4"/>
  <c r="AF61" i="4"/>
  <c r="AF62" i="4"/>
  <c r="AF63" i="4"/>
  <c r="AF64" i="4"/>
  <c r="AF65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7" i="4"/>
  <c r="AF8" i="4"/>
  <c r="AG8" i="4" s="1"/>
  <c r="AG9" i="4" s="1"/>
  <c r="AF9" i="4"/>
  <c r="AF10" i="4"/>
  <c r="AF11" i="4"/>
  <c r="AF12" i="4"/>
  <c r="AF6" i="4"/>
  <c r="A17" i="4"/>
  <c r="A14" i="4"/>
  <c r="A11" i="4"/>
  <c r="A8" i="4"/>
  <c r="A5" i="4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52" i="5"/>
  <c r="AZ53" i="5"/>
  <c r="AZ54" i="5"/>
  <c r="AZ55" i="5"/>
  <c r="AZ56" i="5"/>
  <c r="AZ57" i="5"/>
  <c r="AZ58" i="5"/>
  <c r="AZ59" i="5"/>
  <c r="AZ60" i="5"/>
  <c r="AZ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11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15" i="5"/>
  <c r="A12" i="1"/>
  <c r="G6" i="1"/>
  <c r="G7" i="1"/>
  <c r="G8" i="1"/>
  <c r="G9" i="1"/>
  <c r="G10" i="1"/>
  <c r="G11" i="1"/>
  <c r="G12" i="1"/>
  <c r="I12" i="1" s="1"/>
  <c r="G13" i="1"/>
  <c r="G14" i="1"/>
  <c r="G5" i="1"/>
  <c r="F6" i="1"/>
  <c r="F7" i="1"/>
  <c r="F8" i="1"/>
  <c r="F9" i="1"/>
  <c r="F10" i="1"/>
  <c r="F11" i="1"/>
  <c r="F12" i="1"/>
  <c r="F13" i="1"/>
  <c r="F14" i="1"/>
  <c r="F5" i="1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A9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A6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A9" i="1"/>
  <c r="A6" i="1"/>
  <c r="U6" i="1"/>
  <c r="V6" i="1"/>
  <c r="W6" i="1"/>
  <c r="X6" i="1"/>
  <c r="Y6" i="1"/>
  <c r="Z6" i="1"/>
  <c r="AA6" i="1"/>
  <c r="AB6" i="1"/>
  <c r="AC6" i="1"/>
  <c r="AD6" i="1"/>
  <c r="U7" i="1"/>
  <c r="V7" i="1"/>
  <c r="W7" i="1"/>
  <c r="X7" i="1"/>
  <c r="Y7" i="1"/>
  <c r="Z7" i="1"/>
  <c r="AA7" i="1"/>
  <c r="AB7" i="1"/>
  <c r="AC7" i="1"/>
  <c r="AD7" i="1"/>
  <c r="U8" i="1"/>
  <c r="V8" i="1"/>
  <c r="W8" i="1"/>
  <c r="X8" i="1"/>
  <c r="Y8" i="1"/>
  <c r="Z8" i="1"/>
  <c r="AA8" i="1"/>
  <c r="AB8" i="1"/>
  <c r="AC8" i="1"/>
  <c r="AD8" i="1"/>
  <c r="U9" i="1"/>
  <c r="V9" i="1"/>
  <c r="W9" i="1"/>
  <c r="X9" i="1"/>
  <c r="Y9" i="1"/>
  <c r="Z9" i="1"/>
  <c r="AA9" i="1"/>
  <c r="AB9" i="1"/>
  <c r="AC9" i="1"/>
  <c r="AD9" i="1"/>
  <c r="U10" i="1"/>
  <c r="V10" i="1"/>
  <c r="W10" i="1"/>
  <c r="X10" i="1"/>
  <c r="Y10" i="1"/>
  <c r="Z10" i="1"/>
  <c r="AA10" i="1"/>
  <c r="AB10" i="1"/>
  <c r="AC10" i="1"/>
  <c r="AD10" i="1"/>
  <c r="U11" i="1"/>
  <c r="V11" i="1"/>
  <c r="W11" i="1"/>
  <c r="X11" i="1"/>
  <c r="Y11" i="1"/>
  <c r="Z11" i="1"/>
  <c r="AA11" i="1"/>
  <c r="AB11" i="1"/>
  <c r="AC11" i="1"/>
  <c r="AD11" i="1"/>
  <c r="U12" i="1"/>
  <c r="V12" i="1"/>
  <c r="W12" i="1"/>
  <c r="X12" i="1"/>
  <c r="Y12" i="1"/>
  <c r="Z12" i="1"/>
  <c r="AA12" i="1"/>
  <c r="AB12" i="1"/>
  <c r="AC12" i="1"/>
  <c r="AD12" i="1"/>
  <c r="U13" i="1"/>
  <c r="V13" i="1"/>
  <c r="W13" i="1"/>
  <c r="X13" i="1"/>
  <c r="Y13" i="1"/>
  <c r="Z13" i="1"/>
  <c r="AA13" i="1"/>
  <c r="AB13" i="1"/>
  <c r="AC13" i="1"/>
  <c r="AD13" i="1"/>
  <c r="U14" i="1"/>
  <c r="V14" i="1"/>
  <c r="W14" i="1"/>
  <c r="X14" i="1"/>
  <c r="Y14" i="1"/>
  <c r="Z14" i="1"/>
  <c r="AA14" i="1"/>
  <c r="AB14" i="1"/>
  <c r="AC14" i="1"/>
  <c r="AD14" i="1"/>
  <c r="W5" i="1"/>
  <c r="X5" i="1"/>
  <c r="Y5" i="1"/>
  <c r="Z5" i="1"/>
  <c r="AA5" i="1"/>
  <c r="AB5" i="1"/>
  <c r="AC5" i="1"/>
  <c r="AD5" i="1"/>
  <c r="V5" i="1"/>
  <c r="U5" i="1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" i="2"/>
  <c r="K2" i="2"/>
  <c r="AG10" i="4" l="1"/>
  <c r="AG11" i="4" s="1"/>
  <c r="AG12" i="4" s="1"/>
  <c r="AG13" i="4" s="1"/>
  <c r="AG14" i="4" s="1"/>
  <c r="AG15" i="4" s="1"/>
  <c r="AG16" i="4" s="1"/>
  <c r="AG17" i="4" s="1"/>
  <c r="AG18" i="4" s="1"/>
  <c r="AG19" i="4" s="1"/>
  <c r="AG20" i="4" s="1"/>
  <c r="AG21" i="4" s="1"/>
  <c r="AG22" i="4" s="1"/>
  <c r="AG23" i="4" s="1"/>
  <c r="AG24" i="4" s="1"/>
  <c r="AG25" i="4" s="1"/>
  <c r="AG26" i="4" s="1"/>
  <c r="AG27" i="4" s="1"/>
  <c r="AG28" i="4" s="1"/>
  <c r="AG29" i="4" s="1"/>
  <c r="AG30" i="4" s="1"/>
  <c r="AG31" i="4" s="1"/>
  <c r="AG32" i="4" s="1"/>
  <c r="AG33" i="4" s="1"/>
  <c r="AG34" i="4" s="1"/>
  <c r="AG35" i="4" s="1"/>
  <c r="AG36" i="4" s="1"/>
  <c r="AG37" i="4" s="1"/>
  <c r="AG38" i="4" s="1"/>
  <c r="AG39" i="4" s="1"/>
  <c r="AG40" i="4" s="1"/>
  <c r="AG41" i="4" s="1"/>
  <c r="AG42" i="4" s="1"/>
  <c r="AG43" i="4" s="1"/>
  <c r="AG44" i="4" s="1"/>
  <c r="AG45" i="4" s="1"/>
  <c r="AG46" i="4" s="1"/>
  <c r="AG47" i="4" s="1"/>
  <c r="AG48" i="4" s="1"/>
  <c r="AG49" i="4" s="1"/>
  <c r="AG50" i="4" s="1"/>
  <c r="AG51" i="4" s="1"/>
  <c r="AG52" i="4" s="1"/>
  <c r="AG53" i="4" s="1"/>
  <c r="AG54" i="4" s="1"/>
  <c r="AG55" i="4" s="1"/>
  <c r="AG56" i="4" s="1"/>
  <c r="AG57" i="4" s="1"/>
  <c r="AG58" i="4" s="1"/>
  <c r="AG59" i="4" s="1"/>
  <c r="AG60" i="4" s="1"/>
  <c r="AG61" i="4" s="1"/>
  <c r="AG62" i="4" s="1"/>
  <c r="AG63" i="4" s="1"/>
  <c r="AG64" i="4" s="1"/>
  <c r="AG65" i="4" s="1"/>
  <c r="I8" i="1"/>
  <c r="I13" i="1"/>
  <c r="I9" i="1"/>
  <c r="I5" i="1"/>
  <c r="I11" i="1"/>
  <c r="I7" i="1"/>
  <c r="I14" i="1"/>
  <c r="I10" i="1"/>
  <c r="I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6C8392-6CEB-4295-86AF-49AB1B44CEBE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  <connection id="2" xr16:uid="{9FD70540-E0E9-48B6-833B-A87E9C2A7D38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<sst xmlns="http://schemas.openxmlformats.org/spreadsheetml/2006/main" count="157" uniqueCount="95">
  <si>
    <t>Activity</t>
  </si>
  <si>
    <t>REQUESTS/DURATIONS:</t>
  </si>
  <si>
    <t xml:space="preserve"> 31      1     5       9    5    0    1</t>
  </si>
  <si>
    <t xml:space="preserve"> 32      1     0       0    0    0    0</t>
  </si>
  <si>
    <t>jobnr.</t>
  </si>
  <si>
    <t>successors</t>
  </si>
  <si>
    <t>mode</t>
  </si>
  <si>
    <t>duration</t>
  </si>
  <si>
    <t>R</t>
  </si>
  <si>
    <t>R1</t>
  </si>
  <si>
    <t>R2</t>
  </si>
  <si>
    <t>R3</t>
  </si>
  <si>
    <t>R4</t>
  </si>
  <si>
    <t>predecessor _ p[j,i]</t>
  </si>
  <si>
    <r>
      <rPr>
        <sz val="14"/>
        <color theme="9" tint="0.59999389629810485"/>
        <rFont val="Microsoft Sans Serif"/>
        <family val="2"/>
      </rPr>
      <t xml:space="preserve">j </t>
    </r>
    <r>
      <rPr>
        <sz val="14"/>
        <color theme="7" tint="-0.249977111117893"/>
        <rFont val="Wingdings"/>
        <charset val="2"/>
      </rPr>
      <t>à</t>
    </r>
    <r>
      <rPr>
        <sz val="14"/>
        <color theme="7" tint="-0.249977111117893"/>
        <rFont val="Microsoft Sans Serif"/>
        <family val="2"/>
      </rPr>
      <t xml:space="preserve"> </t>
    </r>
    <r>
      <rPr>
        <sz val="14"/>
        <color theme="5" tint="0.59999389629810485"/>
        <rFont val="Microsoft Sans Serif"/>
        <family val="2"/>
      </rPr>
      <t>i</t>
    </r>
  </si>
  <si>
    <t>tasks</t>
  </si>
  <si>
    <t>nActivity</t>
  </si>
  <si>
    <t>RESOURCEAVAILABILITIES:</t>
  </si>
  <si>
    <t>RESOURCE AVAILABILITIES:</t>
  </si>
  <si>
    <t>nResource</t>
  </si>
  <si>
    <t>Horizon</t>
  </si>
  <si>
    <t>duedate</t>
  </si>
  <si>
    <t>Tardiness Cost</t>
  </si>
  <si>
    <t>Minimum Project Makespan</t>
  </si>
  <si>
    <t>max res</t>
  </si>
  <si>
    <t>t</t>
  </si>
  <si>
    <t>Fix Cost</t>
  </si>
  <si>
    <t>Consumption R1 Cost</t>
  </si>
  <si>
    <t>Consumption R2 Cost</t>
  </si>
  <si>
    <t>Interest Rate</t>
  </si>
  <si>
    <t>Inflation Rate</t>
  </si>
  <si>
    <t>Total Cost Per Day</t>
  </si>
  <si>
    <t>RESOURCES</t>
  </si>
  <si>
    <t>projects</t>
  </si>
  <si>
    <t>:</t>
  </si>
  <si>
    <t>jobs</t>
  </si>
  <si>
    <t>(incl.</t>
  </si>
  <si>
    <t>supersource/sink</t>
  </si>
  <si>
    <t>):</t>
  </si>
  <si>
    <t>horizon</t>
  </si>
  <si>
    <t>-</t>
  </si>
  <si>
    <t>renewable</t>
  </si>
  <si>
    <t>nonrenewable</t>
  </si>
  <si>
    <t>N</t>
  </si>
  <si>
    <t>doubly</t>
  </si>
  <si>
    <t>constrained</t>
  </si>
  <si>
    <t>D</t>
  </si>
  <si>
    <t>PROJECT</t>
  </si>
  <si>
    <t>INFORMATION:</t>
  </si>
  <si>
    <t>pronr.</t>
  </si>
  <si>
    <t>#jobs</t>
  </si>
  <si>
    <t>rel.date</t>
  </si>
  <si>
    <t>tardcost</t>
  </si>
  <si>
    <t>MPM-Time</t>
  </si>
  <si>
    <t>PRECEDENCE</t>
  </si>
  <si>
    <t>RELATIONS:</t>
  </si>
  <si>
    <t>#modes</t>
  </si>
  <si>
    <t>#successors</t>
  </si>
  <si>
    <t>r1</t>
  </si>
  <si>
    <t>r2</t>
  </si>
  <si>
    <t>n1</t>
  </si>
  <si>
    <t>n2</t>
  </si>
  <si>
    <t>activities\mode</t>
  </si>
  <si>
    <t>gm</t>
  </si>
  <si>
    <t>a</t>
  </si>
  <si>
    <t>b</t>
  </si>
  <si>
    <t>a or b</t>
  </si>
  <si>
    <t>Task Id</t>
  </si>
  <si>
    <t>Mode</t>
  </si>
  <si>
    <t>Duration</t>
  </si>
  <si>
    <t>Column1</t>
  </si>
  <si>
    <t>Column2</t>
  </si>
  <si>
    <t>Column3</t>
  </si>
  <si>
    <t>gm1</t>
  </si>
  <si>
    <t>gm2</t>
  </si>
  <si>
    <t>ntask</t>
  </si>
  <si>
    <t>nmode</t>
  </si>
  <si>
    <t>nonrenewableResource</t>
  </si>
  <si>
    <t>renewableResource</t>
  </si>
  <si>
    <t>nrr</t>
  </si>
  <si>
    <t>nnrr</t>
  </si>
  <si>
    <t>ReqReRes[i in Activities][m in Modes][k in RenewableResource]</t>
  </si>
  <si>
    <t>activities</t>
  </si>
  <si>
    <t>modes</t>
  </si>
  <si>
    <t>RenewableResource</t>
  </si>
  <si>
    <t>rrr</t>
  </si>
  <si>
    <t>rnr</t>
  </si>
  <si>
    <t>nonRenewableResource</t>
  </si>
  <si>
    <t>Kind</t>
  </si>
  <si>
    <t>atp</t>
  </si>
  <si>
    <t>nkind</t>
  </si>
  <si>
    <t>xim</t>
  </si>
  <si>
    <t>kina</t>
  </si>
  <si>
    <t>kinb</t>
  </si>
  <si>
    <t>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</si>
</sst>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Microsoft Sans Serif"/>
      <family val="2"/>
    </font>
    <font>
      <sz val="14"/>
      <color theme="7" tint="-0.249977111117893"/>
      <name val="Microsoft Sans Serif"/>
      <family val="2"/>
    </font>
    <font>
      <sz val="14"/>
      <color theme="9" tint="0.59999389629810485"/>
      <name val="Microsoft Sans Serif"/>
      <family val="2"/>
    </font>
    <font>
      <sz val="14"/>
      <color theme="7" tint="-0.249977111117893"/>
      <name val="Wingdings"/>
      <charset val="2"/>
    </font>
    <font>
      <sz val="14"/>
      <color theme="5" tint="0.59999389629810485"/>
      <name val="Microsoft Sans Serif"/>
      <family val="2"/>
    </font>
    <font>
      <sz val="11"/>
      <color theme="1"/>
      <name val="Calibri"/>
      <family val="2"/>
      <scheme val="minor"/>
    </font>
    <font>
      <b/>
      <sz val="14"/>
      <color theme="1"/>
      <name val="Microsoft Sans Serif"/>
      <family val="2"/>
    </font>
    <font>
      <sz val="10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 wrapText="1"/>
    </xf>
    <xf numFmtId="164" fontId="1" fillId="2" borderId="0" xfId="1" applyNumberFormat="1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4DDC8F-CB7E-4856-B453-6E4829AB9B65}" name="Table2" displayName="Table2" ref="AL11:AN29" totalsRowShown="0">
  <autoFilter ref="AL11:AN29" xr:uid="{D84DDC8F-CB7E-4856-B453-6E4829AB9B65}"/>
  <tableColumns count="3">
    <tableColumn id="1" xr3:uid="{2922A5A0-C0FD-4580-AF59-5F859BCBC618}" name="Column1"/>
    <tableColumn id="2" xr3:uid="{56DA3BFB-F800-40AE-B8D0-363FC3C208AE}" name="Column2"/>
    <tableColumn id="3" xr3:uid="{46E321D4-14D4-404D-B658-A83613EA366B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Z64"/>
  <sheetViews>
    <sheetView zoomScale="90" zoomScaleNormal="90" workbookViewId="0">
      <selection sqref="A1:XFD1048576"/>
    </sheetView>
  </sheetViews>
  <sheetFormatPr defaultColWidth="27.5546875" defaultRowHeight="42" customHeight="1" x14ac:dyDescent="0.3"/>
  <cols>
    <col min="1" max="5" width="27.5546875" style="3"/>
    <col min="6" max="7" width="27.5546875" style="9"/>
    <col min="8" max="16384" width="27.5546875" style="3"/>
  </cols>
  <sheetData>
    <row r="3" spans="1:52" ht="42" customHeight="1" x14ac:dyDescent="0.3">
      <c r="T3" s="3" t="s">
        <v>13</v>
      </c>
    </row>
    <row r="4" spans="1:52" ht="42" customHeight="1" x14ac:dyDescent="0.3">
      <c r="B4" s="4" t="s">
        <v>0</v>
      </c>
      <c r="C4" s="4" t="s">
        <v>7</v>
      </c>
      <c r="D4" s="4" t="s">
        <v>9</v>
      </c>
      <c r="E4" s="4" t="s">
        <v>10</v>
      </c>
      <c r="F4" s="10" t="s">
        <v>27</v>
      </c>
      <c r="G4" s="10" t="s">
        <v>28</v>
      </c>
      <c r="H4" s="4" t="s">
        <v>26</v>
      </c>
      <c r="I4" s="4" t="s">
        <v>31</v>
      </c>
      <c r="K4" s="4" t="s">
        <v>25</v>
      </c>
      <c r="L4" s="4" t="s">
        <v>29</v>
      </c>
      <c r="M4" s="4" t="s">
        <v>30</v>
      </c>
      <c r="O4" s="4" t="s">
        <v>18</v>
      </c>
      <c r="P4" s="4" t="s">
        <v>24</v>
      </c>
      <c r="S4" s="5" t="s">
        <v>14</v>
      </c>
      <c r="T4" s="3" t="s">
        <v>15</v>
      </c>
      <c r="U4" s="6">
        <v>1</v>
      </c>
      <c r="V4" s="6">
        <v>2</v>
      </c>
      <c r="W4" s="6">
        <v>3</v>
      </c>
      <c r="X4" s="6">
        <v>4</v>
      </c>
      <c r="Y4" s="6">
        <v>5</v>
      </c>
      <c r="Z4" s="6">
        <v>6</v>
      </c>
      <c r="AA4" s="6">
        <v>7</v>
      </c>
      <c r="AB4" s="6">
        <v>8</v>
      </c>
      <c r="AC4" s="6">
        <v>9</v>
      </c>
      <c r="AD4" s="6">
        <v>10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42" customHeight="1" x14ac:dyDescent="0.3">
      <c r="A5" s="4" t="s">
        <v>16</v>
      </c>
      <c r="B5" s="3">
        <v>1</v>
      </c>
      <c r="C5" s="8">
        <v>2</v>
      </c>
      <c r="D5" s="3">
        <v>0</v>
      </c>
      <c r="E5" s="3">
        <v>0</v>
      </c>
      <c r="F5" s="9">
        <f>D5*2000000</f>
        <v>0</v>
      </c>
      <c r="G5" s="9">
        <f>E5*10000000</f>
        <v>0</v>
      </c>
      <c r="H5" s="9">
        <v>11719756.361737</v>
      </c>
      <c r="I5" s="9">
        <f>H5+G5+F5</f>
        <v>11719756.361737</v>
      </c>
      <c r="K5" s="3">
        <v>1</v>
      </c>
      <c r="L5" s="11">
        <v>0.1</v>
      </c>
      <c r="M5" s="11">
        <v>0.11</v>
      </c>
      <c r="O5" s="3">
        <v>1</v>
      </c>
      <c r="P5" s="3">
        <v>13</v>
      </c>
      <c r="T5" s="7">
        <v>1</v>
      </c>
      <c r="U5" s="3">
        <f>IF(IFERROR('j309-3'!K2,0)=0,0,1)</f>
        <v>0</v>
      </c>
      <c r="V5" s="3">
        <f>IF(IFERROR('j309-3'!L2,0)=0,0,1)</f>
        <v>1</v>
      </c>
      <c r="W5" s="3">
        <f>IF(IFERROR('j309-3'!M2,0)=0,0,1)</f>
        <v>1</v>
      </c>
      <c r="X5" s="3">
        <f>IF(IFERROR('j309-3'!N2,0)=0,0,1)</f>
        <v>1</v>
      </c>
      <c r="Y5" s="3">
        <f>IF(IFERROR('j309-3'!O2,0)=0,0,1)</f>
        <v>0</v>
      </c>
      <c r="Z5" s="3">
        <f>IF(IFERROR('j309-3'!P2,0)=0,0,1)</f>
        <v>0</v>
      </c>
      <c r="AA5" s="3">
        <f>IF(IFERROR('j309-3'!Q2,0)=0,0,1)</f>
        <v>0</v>
      </c>
      <c r="AB5" s="3">
        <f>IF(IFERROR('j309-3'!R2,0)=0,0,1)</f>
        <v>0</v>
      </c>
      <c r="AC5" s="3">
        <f>IF(IFERROR('j309-3'!S2,0)=0,0,1)</f>
        <v>0</v>
      </c>
      <c r="AD5" s="3">
        <f>IF(IFERROR('j309-3'!T2,0)=0,0,1)</f>
        <v>0</v>
      </c>
    </row>
    <row r="6" spans="1:52" ht="42" customHeight="1" x14ac:dyDescent="0.3">
      <c r="A6" s="3">
        <f>COUNT(B5:B50)</f>
        <v>10</v>
      </c>
      <c r="B6" s="3">
        <v>2</v>
      </c>
      <c r="C6" s="8">
        <v>10</v>
      </c>
      <c r="D6" s="3">
        <v>8</v>
      </c>
      <c r="E6" s="3">
        <v>0</v>
      </c>
      <c r="F6" s="9">
        <f t="shared" ref="F6:F14" si="0">D6*2000000</f>
        <v>16000000</v>
      </c>
      <c r="G6" s="9">
        <f t="shared" ref="G6:G14" si="1">E6*10000000</f>
        <v>0</v>
      </c>
      <c r="H6" s="9">
        <v>48045345.394034192</v>
      </c>
      <c r="I6" s="9">
        <f t="shared" ref="I6:I14" si="2">H6+G6+F6</f>
        <v>64045345.394034192</v>
      </c>
      <c r="K6" s="3">
        <v>2</v>
      </c>
      <c r="L6" s="11">
        <v>0.03</v>
      </c>
      <c r="M6" s="11">
        <v>0.2</v>
      </c>
      <c r="O6" s="3">
        <v>2</v>
      </c>
      <c r="P6" s="3">
        <v>17</v>
      </c>
      <c r="T6" s="7">
        <v>2</v>
      </c>
      <c r="U6" s="3">
        <f>IF(IFERROR('j309-3'!K3,0)=0,0,1)</f>
        <v>0</v>
      </c>
      <c r="V6" s="3">
        <f>IF(IFERROR('j309-3'!L3,0)=0,0,1)</f>
        <v>0</v>
      </c>
      <c r="W6" s="3">
        <f>IF(IFERROR('j309-3'!M3,0)=0,0,1)</f>
        <v>0</v>
      </c>
      <c r="X6" s="3">
        <f>IF(IFERROR('j309-3'!N3,0)=0,0,1)</f>
        <v>0</v>
      </c>
      <c r="Y6" s="3">
        <f>IF(IFERROR('j309-3'!O3,0)=0,0,1)</f>
        <v>1</v>
      </c>
      <c r="Z6" s="3">
        <f>IF(IFERROR('j309-3'!P3,0)=0,0,1)</f>
        <v>0</v>
      </c>
      <c r="AA6" s="3">
        <f>IF(IFERROR('j309-3'!Q3,0)=0,0,1)</f>
        <v>0</v>
      </c>
      <c r="AB6" s="3">
        <f>IF(IFERROR('j309-3'!R3,0)=0,0,1)</f>
        <v>0</v>
      </c>
      <c r="AC6" s="3">
        <f>IF(IFERROR('j309-3'!S3,0)=0,0,1)</f>
        <v>0</v>
      </c>
      <c r="AD6" s="3">
        <f>IF(IFERROR('j309-3'!T3,0)=0,0,1)</f>
        <v>0</v>
      </c>
    </row>
    <row r="7" spans="1:52" ht="42" customHeight="1" x14ac:dyDescent="0.3">
      <c r="B7" s="3">
        <v>3</v>
      </c>
      <c r="C7" s="8">
        <v>8</v>
      </c>
      <c r="D7" s="3">
        <v>6</v>
      </c>
      <c r="E7" s="3">
        <v>3</v>
      </c>
      <c r="F7" s="9">
        <f t="shared" si="0"/>
        <v>12000000</v>
      </c>
      <c r="G7" s="9">
        <f t="shared" si="1"/>
        <v>30000000</v>
      </c>
      <c r="H7" s="9">
        <v>41242605.574085042</v>
      </c>
      <c r="I7" s="9">
        <f t="shared" si="2"/>
        <v>83242605.574085042</v>
      </c>
      <c r="K7" s="3">
        <v>3</v>
      </c>
      <c r="L7" s="11">
        <v>0.18</v>
      </c>
      <c r="M7" s="11">
        <v>0.17</v>
      </c>
      <c r="T7" s="7">
        <v>3</v>
      </c>
      <c r="U7" s="3">
        <f>IF(IFERROR('j309-3'!K4,0)=0,0,1)</f>
        <v>0</v>
      </c>
      <c r="V7" s="3">
        <f>IF(IFERROR('j309-3'!L4,0)=0,0,1)</f>
        <v>0</v>
      </c>
      <c r="W7" s="3">
        <f>IF(IFERROR('j309-3'!M4,0)=0,0,1)</f>
        <v>0</v>
      </c>
      <c r="X7" s="3">
        <f>IF(IFERROR('j309-3'!N4,0)=0,0,1)</f>
        <v>0</v>
      </c>
      <c r="Y7" s="3">
        <f>IF(IFERROR('j309-3'!O4,0)=0,0,1)</f>
        <v>0</v>
      </c>
      <c r="Z7" s="3">
        <f>IF(IFERROR('j309-3'!P4,0)=0,0,1)</f>
        <v>1</v>
      </c>
      <c r="AA7" s="3">
        <f>IF(IFERROR('j309-3'!Q4,0)=0,0,1)</f>
        <v>0</v>
      </c>
      <c r="AB7" s="3">
        <f>IF(IFERROR('j309-3'!R4,0)=0,0,1)</f>
        <v>0</v>
      </c>
      <c r="AC7" s="3">
        <f>IF(IFERROR('j309-3'!S4,0)=0,0,1)</f>
        <v>1</v>
      </c>
      <c r="AD7" s="3">
        <f>IF(IFERROR('j309-3'!T4,0)=0,0,1)</f>
        <v>1</v>
      </c>
    </row>
    <row r="8" spans="1:52" ht="42" customHeight="1" x14ac:dyDescent="0.3">
      <c r="A8" s="4" t="s">
        <v>19</v>
      </c>
      <c r="B8" s="3">
        <v>4</v>
      </c>
      <c r="C8" s="8">
        <v>8</v>
      </c>
      <c r="D8" s="3">
        <v>7</v>
      </c>
      <c r="E8" s="3">
        <v>3</v>
      </c>
      <c r="F8" s="9">
        <f t="shared" si="0"/>
        <v>14000000</v>
      </c>
      <c r="G8" s="9">
        <f t="shared" si="1"/>
        <v>30000000</v>
      </c>
      <c r="H8" s="9">
        <v>19511002.299130257</v>
      </c>
      <c r="I8" s="9">
        <f t="shared" si="2"/>
        <v>63511002.299130261</v>
      </c>
      <c r="K8" s="3">
        <v>4</v>
      </c>
      <c r="L8" s="11">
        <v>0.04</v>
      </c>
      <c r="M8" s="11">
        <v>7.0000000000000007E-2</v>
      </c>
      <c r="T8" s="7">
        <v>4</v>
      </c>
      <c r="U8" s="3">
        <f>IF(IFERROR('j309-3'!K5,0)=0,0,1)</f>
        <v>0</v>
      </c>
      <c r="V8" s="3">
        <f>IF(IFERROR('j309-3'!L5,0)=0,0,1)</f>
        <v>0</v>
      </c>
      <c r="W8" s="3">
        <f>IF(IFERROR('j309-3'!M5,0)=0,0,1)</f>
        <v>0</v>
      </c>
      <c r="X8" s="3">
        <f>IF(IFERROR('j309-3'!N5,0)=0,0,1)</f>
        <v>0</v>
      </c>
      <c r="Y8" s="3">
        <f>IF(IFERROR('j309-3'!O5,0)=0,0,1)</f>
        <v>0</v>
      </c>
      <c r="Z8" s="3">
        <f>IF(IFERROR('j309-3'!P5,0)=0,0,1)</f>
        <v>0</v>
      </c>
      <c r="AA8" s="3">
        <f>IF(IFERROR('j309-3'!Q5,0)=0,0,1)</f>
        <v>0</v>
      </c>
      <c r="AB8" s="3">
        <f>IF(IFERROR('j309-3'!R5,0)=0,0,1)</f>
        <v>0</v>
      </c>
      <c r="AC8" s="3">
        <f>IF(IFERROR('j309-3'!S5,0)=0,0,1)</f>
        <v>0</v>
      </c>
      <c r="AD8" s="3">
        <f>IF(IFERROR('j309-3'!T5,0)=0,0,1)</f>
        <v>0</v>
      </c>
    </row>
    <row r="9" spans="1:52" ht="42" customHeight="1" x14ac:dyDescent="0.3">
      <c r="A9" s="3">
        <f>COUNT(O5:O50)</f>
        <v>2</v>
      </c>
      <c r="B9" s="3">
        <v>5</v>
      </c>
      <c r="C9" s="8">
        <v>4</v>
      </c>
      <c r="D9" s="3">
        <v>7</v>
      </c>
      <c r="E9" s="3">
        <v>1</v>
      </c>
      <c r="F9" s="9">
        <f t="shared" si="0"/>
        <v>14000000</v>
      </c>
      <c r="G9" s="9">
        <f t="shared" si="1"/>
        <v>10000000</v>
      </c>
      <c r="H9" s="9">
        <v>40311537.75273665</v>
      </c>
      <c r="I9" s="9">
        <f t="shared" si="2"/>
        <v>64311537.75273665</v>
      </c>
      <c r="K9" s="3">
        <v>5</v>
      </c>
      <c r="L9" s="11">
        <v>0.03</v>
      </c>
      <c r="M9" s="11">
        <v>0.11</v>
      </c>
      <c r="T9" s="7">
        <v>5</v>
      </c>
      <c r="U9" s="3">
        <f>IF(IFERROR('j309-3'!K6,0)=0,0,1)</f>
        <v>0</v>
      </c>
      <c r="V9" s="3">
        <f>IF(IFERROR('j309-3'!L6,0)=0,0,1)</f>
        <v>0</v>
      </c>
      <c r="W9" s="3">
        <f>IF(IFERROR('j309-3'!M6,0)=0,0,1)</f>
        <v>0</v>
      </c>
      <c r="X9" s="3">
        <f>IF(IFERROR('j309-3'!N6,0)=0,0,1)</f>
        <v>0</v>
      </c>
      <c r="Y9" s="3">
        <f>IF(IFERROR('j309-3'!O6,0)=0,0,1)</f>
        <v>0</v>
      </c>
      <c r="Z9" s="3">
        <f>IF(IFERROR('j309-3'!P6,0)=0,0,1)</f>
        <v>0</v>
      </c>
      <c r="AA9" s="3">
        <f>IF(IFERROR('j309-3'!Q6,0)=0,0,1)</f>
        <v>1</v>
      </c>
      <c r="AB9" s="3">
        <f>IF(IFERROR('j309-3'!R6,0)=0,0,1)</f>
        <v>0</v>
      </c>
      <c r="AC9" s="3">
        <f>IF(IFERROR('j309-3'!S6,0)=0,0,1)</f>
        <v>0</v>
      </c>
      <c r="AD9" s="3">
        <f>IF(IFERROR('j309-3'!T6,0)=0,0,1)</f>
        <v>0</v>
      </c>
    </row>
    <row r="10" spans="1:52" ht="42" customHeight="1" x14ac:dyDescent="0.3">
      <c r="B10" s="3">
        <v>6</v>
      </c>
      <c r="C10" s="8">
        <v>3</v>
      </c>
      <c r="D10" s="3">
        <v>6</v>
      </c>
      <c r="E10" s="3">
        <v>2</v>
      </c>
      <c r="F10" s="9">
        <f t="shared" si="0"/>
        <v>12000000</v>
      </c>
      <c r="G10" s="9">
        <f t="shared" si="1"/>
        <v>20000000</v>
      </c>
      <c r="H10" s="9">
        <v>22597259.429627907</v>
      </c>
      <c r="I10" s="9">
        <f t="shared" si="2"/>
        <v>54597259.42962791</v>
      </c>
      <c r="K10" s="3">
        <v>6</v>
      </c>
      <c r="L10" s="11">
        <v>0.01</v>
      </c>
      <c r="M10" s="11">
        <v>0.05</v>
      </c>
      <c r="T10" s="7">
        <v>6</v>
      </c>
      <c r="U10" s="3">
        <f>IF(IFERROR('j309-3'!K7,0)=0,0,1)</f>
        <v>0</v>
      </c>
      <c r="V10" s="3">
        <f>IF(IFERROR('j309-3'!L7,0)=0,0,1)</f>
        <v>0</v>
      </c>
      <c r="W10" s="3">
        <f>IF(IFERROR('j309-3'!M7,0)=0,0,1)</f>
        <v>0</v>
      </c>
      <c r="X10" s="3">
        <f>IF(IFERROR('j309-3'!N7,0)=0,0,1)</f>
        <v>0</v>
      </c>
      <c r="Y10" s="3">
        <f>IF(IFERROR('j309-3'!O7,0)=0,0,1)</f>
        <v>0</v>
      </c>
      <c r="Z10" s="3">
        <f>IF(IFERROR('j309-3'!P7,0)=0,0,1)</f>
        <v>0</v>
      </c>
      <c r="AA10" s="3">
        <f>IF(IFERROR('j309-3'!Q7,0)=0,0,1)</f>
        <v>0</v>
      </c>
      <c r="AB10" s="3">
        <f>IF(IFERROR('j309-3'!R7,0)=0,0,1)</f>
        <v>1</v>
      </c>
      <c r="AC10" s="3">
        <f>IF(IFERROR('j309-3'!S7,0)=0,0,1)</f>
        <v>0</v>
      </c>
      <c r="AD10" s="3">
        <f>IF(IFERROR('j309-3'!T7,0)=0,0,1)</f>
        <v>0</v>
      </c>
    </row>
    <row r="11" spans="1:52" ht="42" customHeight="1" x14ac:dyDescent="0.3">
      <c r="A11" s="4" t="s">
        <v>20</v>
      </c>
      <c r="B11" s="3">
        <v>7</v>
      </c>
      <c r="C11" s="8">
        <v>3</v>
      </c>
      <c r="D11" s="3">
        <v>0</v>
      </c>
      <c r="E11" s="3">
        <v>1</v>
      </c>
      <c r="F11" s="9">
        <f t="shared" si="0"/>
        <v>0</v>
      </c>
      <c r="G11" s="9">
        <f t="shared" si="1"/>
        <v>10000000</v>
      </c>
      <c r="H11" s="9">
        <v>30741488.63983966</v>
      </c>
      <c r="I11" s="9">
        <f t="shared" si="2"/>
        <v>40741488.639839664</v>
      </c>
      <c r="K11" s="3">
        <v>7</v>
      </c>
      <c r="L11" s="11">
        <v>0.11</v>
      </c>
      <c r="M11" s="11">
        <v>0.04</v>
      </c>
      <c r="T11" s="7">
        <v>7</v>
      </c>
      <c r="U11" s="3">
        <f>IF(IFERROR('j309-3'!K8,0)=0,0,1)</f>
        <v>0</v>
      </c>
      <c r="V11" s="3">
        <f>IF(IFERROR('j309-3'!L8,0)=0,0,1)</f>
        <v>0</v>
      </c>
      <c r="W11" s="3">
        <f>IF(IFERROR('j309-3'!M8,0)=0,0,1)</f>
        <v>0</v>
      </c>
      <c r="X11" s="3">
        <f>IF(IFERROR('j309-3'!N8,0)=0,0,1)</f>
        <v>0</v>
      </c>
      <c r="Y11" s="3">
        <f>IF(IFERROR('j309-3'!O8,0)=0,0,1)</f>
        <v>0</v>
      </c>
      <c r="Z11" s="3">
        <f>IF(IFERROR('j309-3'!P8,0)=0,0,1)</f>
        <v>0</v>
      </c>
      <c r="AA11" s="3">
        <f>IF(IFERROR('j309-3'!Q8,0)=0,0,1)</f>
        <v>0</v>
      </c>
      <c r="AB11" s="3">
        <f>IF(IFERROR('j309-3'!R8,0)=0,0,1)</f>
        <v>0</v>
      </c>
      <c r="AC11" s="3">
        <f>IF(IFERROR('j309-3'!S8,0)=0,0,1)</f>
        <v>0</v>
      </c>
      <c r="AD11" s="3">
        <f>IF(IFERROR('j309-3'!T8,0)=0,0,1)</f>
        <v>0</v>
      </c>
    </row>
    <row r="12" spans="1:52" ht="42" customHeight="1" x14ac:dyDescent="0.3">
      <c r="A12" s="8">
        <f>COUNT(K5:K100)</f>
        <v>60</v>
      </c>
      <c r="B12" s="3">
        <v>8</v>
      </c>
      <c r="C12" s="8">
        <v>2</v>
      </c>
      <c r="D12" s="3">
        <v>8</v>
      </c>
      <c r="E12" s="3">
        <v>3</v>
      </c>
      <c r="F12" s="9">
        <f t="shared" si="0"/>
        <v>16000000</v>
      </c>
      <c r="G12" s="9">
        <f t="shared" si="1"/>
        <v>30000000</v>
      </c>
      <c r="H12" s="9">
        <v>46099644.39516779</v>
      </c>
      <c r="I12" s="9">
        <f t="shared" si="2"/>
        <v>92099644.395167798</v>
      </c>
      <c r="K12" s="3">
        <v>8</v>
      </c>
      <c r="L12" s="11">
        <v>0.2</v>
      </c>
      <c r="M12" s="11">
        <v>0.01</v>
      </c>
      <c r="T12" s="7">
        <v>8</v>
      </c>
      <c r="U12" s="3">
        <f>IF(IFERROR('j309-3'!K9,0)=0,0,1)</f>
        <v>0</v>
      </c>
      <c r="V12" s="3">
        <f>IF(IFERROR('j309-3'!L9,0)=0,0,1)</f>
        <v>0</v>
      </c>
      <c r="W12" s="3">
        <f>IF(IFERROR('j309-3'!M9,0)=0,0,1)</f>
        <v>0</v>
      </c>
      <c r="X12" s="3">
        <f>IF(IFERROR('j309-3'!N9,0)=0,0,1)</f>
        <v>0</v>
      </c>
      <c r="Y12" s="3">
        <f>IF(IFERROR('j309-3'!O9,0)=0,0,1)</f>
        <v>0</v>
      </c>
      <c r="Z12" s="3">
        <f>IF(IFERROR('j309-3'!P9,0)=0,0,1)</f>
        <v>0</v>
      </c>
      <c r="AA12" s="3">
        <f>IF(IFERROR('j309-3'!Q9,0)=0,0,1)</f>
        <v>0</v>
      </c>
      <c r="AB12" s="3">
        <f>IF(IFERROR('j309-3'!R9,0)=0,0,1)</f>
        <v>0</v>
      </c>
      <c r="AC12" s="3">
        <f>IF(IFERROR('j309-3'!S9,0)=0,0,1)</f>
        <v>0</v>
      </c>
      <c r="AD12" s="3">
        <f>IF(IFERROR('j309-3'!T9,0)=0,0,1)</f>
        <v>0</v>
      </c>
    </row>
    <row r="13" spans="1:52" ht="42" customHeight="1" x14ac:dyDescent="0.3">
      <c r="B13" s="3">
        <v>9</v>
      </c>
      <c r="C13" s="8">
        <v>2</v>
      </c>
      <c r="D13" s="3">
        <v>8</v>
      </c>
      <c r="E13" s="3">
        <v>2</v>
      </c>
      <c r="F13" s="9">
        <f t="shared" si="0"/>
        <v>16000000</v>
      </c>
      <c r="G13" s="9">
        <f t="shared" si="1"/>
        <v>20000000</v>
      </c>
      <c r="H13" s="9">
        <v>17617382.816404194</v>
      </c>
      <c r="I13" s="9">
        <f t="shared" si="2"/>
        <v>53617382.816404194</v>
      </c>
      <c r="K13" s="3">
        <v>9</v>
      </c>
      <c r="L13" s="11">
        <v>0.05</v>
      </c>
      <c r="M13" s="11">
        <v>0.05</v>
      </c>
      <c r="T13" s="7">
        <v>9</v>
      </c>
      <c r="U13" s="3">
        <f>IF(IFERROR('j309-3'!K10,0)=0,0,1)</f>
        <v>0</v>
      </c>
      <c r="V13" s="3">
        <f>IF(IFERROR('j309-3'!L10,0)=0,0,1)</f>
        <v>0</v>
      </c>
      <c r="W13" s="3">
        <f>IF(IFERROR('j309-3'!M10,0)=0,0,1)</f>
        <v>0</v>
      </c>
      <c r="X13" s="3">
        <f>IF(IFERROR('j309-3'!N10,0)=0,0,1)</f>
        <v>0</v>
      </c>
      <c r="Y13" s="3">
        <f>IF(IFERROR('j309-3'!O10,0)=0,0,1)</f>
        <v>0</v>
      </c>
      <c r="Z13" s="3">
        <f>IF(IFERROR('j309-3'!P10,0)=0,0,1)</f>
        <v>0</v>
      </c>
      <c r="AA13" s="3">
        <f>IF(IFERROR('j309-3'!Q10,0)=0,0,1)</f>
        <v>0</v>
      </c>
      <c r="AB13" s="3">
        <f>IF(IFERROR('j309-3'!R10,0)=0,0,1)</f>
        <v>0</v>
      </c>
      <c r="AC13" s="3">
        <f>IF(IFERROR('j309-3'!S10,0)=0,0,1)</f>
        <v>0</v>
      </c>
      <c r="AD13" s="3">
        <f>IF(IFERROR('j309-3'!T10,0)=0,0,1)</f>
        <v>0</v>
      </c>
    </row>
    <row r="14" spans="1:52" ht="42" customHeight="1" x14ac:dyDescent="0.3">
      <c r="A14" s="4" t="s">
        <v>21</v>
      </c>
      <c r="B14" s="3">
        <v>10</v>
      </c>
      <c r="C14" s="8">
        <v>4</v>
      </c>
      <c r="D14" s="3">
        <v>0</v>
      </c>
      <c r="E14" s="3">
        <v>8</v>
      </c>
      <c r="F14" s="9">
        <f t="shared" si="0"/>
        <v>0</v>
      </c>
      <c r="G14" s="9">
        <f t="shared" si="1"/>
        <v>80000000</v>
      </c>
      <c r="H14" s="9">
        <v>21316723.135528691</v>
      </c>
      <c r="I14" s="9">
        <f t="shared" si="2"/>
        <v>101316723.13552868</v>
      </c>
      <c r="K14" s="3">
        <v>10</v>
      </c>
      <c r="L14" s="11">
        <v>0.11</v>
      </c>
      <c r="M14" s="11">
        <v>0.1</v>
      </c>
      <c r="T14" s="7">
        <v>10</v>
      </c>
      <c r="U14" s="3">
        <f>IF(IFERROR('j309-3'!K11,0)=0,0,1)</f>
        <v>0</v>
      </c>
      <c r="V14" s="3">
        <f>IF(IFERROR('j309-3'!L11,0)=0,0,1)</f>
        <v>0</v>
      </c>
      <c r="W14" s="3">
        <f>IF(IFERROR('j309-3'!M11,0)=0,0,1)</f>
        <v>0</v>
      </c>
      <c r="X14" s="3">
        <f>IF(IFERROR('j309-3'!N11,0)=0,0,1)</f>
        <v>0</v>
      </c>
      <c r="Y14" s="3">
        <f>IF(IFERROR('j309-3'!O11,0)=0,0,1)</f>
        <v>0</v>
      </c>
      <c r="Z14" s="3">
        <f>IF(IFERROR('j309-3'!P11,0)=0,0,1)</f>
        <v>0</v>
      </c>
      <c r="AA14" s="3">
        <f>IF(IFERROR('j309-3'!Q11,0)=0,0,1)</f>
        <v>0</v>
      </c>
      <c r="AB14" s="3">
        <f>IF(IFERROR('j309-3'!R11,0)=0,0,1)</f>
        <v>0</v>
      </c>
      <c r="AC14" s="3">
        <f>IF(IFERROR('j309-3'!S11,0)=0,0,1)</f>
        <v>0</v>
      </c>
      <c r="AD14" s="3">
        <f>IF(IFERROR('j309-3'!T11,0)=0,0,1)</f>
        <v>0</v>
      </c>
    </row>
    <row r="15" spans="1:52" ht="42" customHeight="1" x14ac:dyDescent="0.3">
      <c r="A15" s="8">
        <v>48</v>
      </c>
      <c r="C15" s="8"/>
      <c r="H15" s="9"/>
      <c r="I15" s="9"/>
      <c r="K15" s="3">
        <v>11</v>
      </c>
      <c r="L15" s="11">
        <v>0.18</v>
      </c>
      <c r="M15" s="11">
        <v>0.06</v>
      </c>
      <c r="T15" s="7"/>
    </row>
    <row r="16" spans="1:52" ht="42" customHeight="1" x14ac:dyDescent="0.3">
      <c r="C16" s="8"/>
      <c r="K16" s="3">
        <v>12</v>
      </c>
      <c r="L16" s="11">
        <v>0.19</v>
      </c>
      <c r="M16" s="11">
        <v>0.1</v>
      </c>
      <c r="T16" s="7"/>
    </row>
    <row r="17" spans="1:20" ht="42" customHeight="1" x14ac:dyDescent="0.3">
      <c r="A17" s="4" t="s">
        <v>22</v>
      </c>
      <c r="C17" s="8"/>
      <c r="K17" s="3">
        <v>13</v>
      </c>
      <c r="L17" s="11">
        <v>7.0000000000000007E-2</v>
      </c>
      <c r="M17" s="11">
        <v>0.1</v>
      </c>
      <c r="T17" s="7"/>
    </row>
    <row r="18" spans="1:20" ht="42" customHeight="1" x14ac:dyDescent="0.3">
      <c r="A18" s="3">
        <v>24</v>
      </c>
      <c r="C18" s="8"/>
      <c r="K18" s="3">
        <v>14</v>
      </c>
      <c r="L18" s="11">
        <v>0.19</v>
      </c>
      <c r="M18" s="11">
        <v>0.15</v>
      </c>
      <c r="T18" s="7"/>
    </row>
    <row r="19" spans="1:20" ht="42" customHeight="1" x14ac:dyDescent="0.3">
      <c r="C19" s="8"/>
      <c r="K19" s="3">
        <v>15</v>
      </c>
      <c r="L19" s="11">
        <v>0.09</v>
      </c>
      <c r="M19" s="11">
        <v>0.1</v>
      </c>
      <c r="T19" s="7"/>
    </row>
    <row r="20" spans="1:20" ht="42" customHeight="1" x14ac:dyDescent="0.3">
      <c r="A20" s="4" t="s">
        <v>23</v>
      </c>
      <c r="C20" s="8"/>
      <c r="K20" s="3">
        <v>16</v>
      </c>
      <c r="L20" s="11">
        <v>0.14000000000000001</v>
      </c>
      <c r="M20" s="11">
        <v>0.12</v>
      </c>
      <c r="T20" s="7"/>
    </row>
    <row r="21" spans="1:20" ht="42" customHeight="1" x14ac:dyDescent="0.3">
      <c r="A21" s="8">
        <v>48</v>
      </c>
      <c r="C21" s="8"/>
      <c r="K21" s="3">
        <v>17</v>
      </c>
      <c r="L21" s="11">
        <v>0.16</v>
      </c>
      <c r="M21" s="11">
        <v>0.17</v>
      </c>
      <c r="T21" s="7"/>
    </row>
    <row r="22" spans="1:20" ht="42" customHeight="1" x14ac:dyDescent="0.3">
      <c r="C22" s="8"/>
      <c r="K22" s="3">
        <v>18</v>
      </c>
      <c r="L22" s="11">
        <v>0.15</v>
      </c>
      <c r="M22" s="11">
        <v>0.09</v>
      </c>
      <c r="T22" s="7"/>
    </row>
    <row r="23" spans="1:20" ht="42" customHeight="1" x14ac:dyDescent="0.3">
      <c r="C23" s="8"/>
      <c r="K23" s="3">
        <v>19</v>
      </c>
      <c r="L23" s="11">
        <v>0.09</v>
      </c>
      <c r="M23" s="11">
        <v>0.06</v>
      </c>
      <c r="T23" s="7"/>
    </row>
    <row r="24" spans="1:20" ht="42" customHeight="1" x14ac:dyDescent="0.3">
      <c r="C24" s="8"/>
      <c r="K24" s="3">
        <v>20</v>
      </c>
      <c r="L24" s="11">
        <v>0.05</v>
      </c>
      <c r="M24" s="11">
        <v>0.17</v>
      </c>
      <c r="T24" s="7"/>
    </row>
    <row r="25" spans="1:20" ht="42" customHeight="1" x14ac:dyDescent="0.3">
      <c r="C25" s="8"/>
      <c r="K25" s="3">
        <v>21</v>
      </c>
      <c r="L25" s="11">
        <v>0.08</v>
      </c>
      <c r="M25" s="11">
        <v>0.15</v>
      </c>
      <c r="T25" s="7"/>
    </row>
    <row r="26" spans="1:20" ht="42" customHeight="1" x14ac:dyDescent="0.3">
      <c r="C26" s="8"/>
      <c r="K26" s="3">
        <v>22</v>
      </c>
      <c r="L26" s="11">
        <v>0.04</v>
      </c>
      <c r="M26" s="11">
        <v>0.09</v>
      </c>
      <c r="T26" s="7"/>
    </row>
    <row r="27" spans="1:20" ht="42" customHeight="1" x14ac:dyDescent="0.3">
      <c r="C27" s="8"/>
      <c r="K27" s="3">
        <v>23</v>
      </c>
      <c r="L27" s="11">
        <v>0.14000000000000001</v>
      </c>
      <c r="M27" s="11">
        <v>0.1</v>
      </c>
      <c r="T27" s="7"/>
    </row>
    <row r="28" spans="1:20" ht="42" customHeight="1" x14ac:dyDescent="0.3">
      <c r="C28" s="8"/>
      <c r="K28" s="3">
        <v>24</v>
      </c>
      <c r="L28" s="11">
        <v>0.11</v>
      </c>
      <c r="M28" s="11">
        <v>0.11</v>
      </c>
      <c r="T28" s="7"/>
    </row>
    <row r="29" spans="1:20" ht="42" customHeight="1" x14ac:dyDescent="0.3">
      <c r="C29" s="8"/>
      <c r="K29" s="3">
        <v>25</v>
      </c>
      <c r="L29" s="11">
        <v>0.12</v>
      </c>
      <c r="M29" s="11">
        <v>0.2</v>
      </c>
      <c r="T29" s="7"/>
    </row>
    <row r="30" spans="1:20" ht="42" customHeight="1" x14ac:dyDescent="0.3">
      <c r="C30" s="8"/>
      <c r="K30" s="3">
        <v>26</v>
      </c>
      <c r="L30" s="11">
        <v>0.01</v>
      </c>
      <c r="M30" s="11">
        <v>0.08</v>
      </c>
      <c r="T30" s="7"/>
    </row>
    <row r="31" spans="1:20" ht="42" customHeight="1" x14ac:dyDescent="0.3">
      <c r="C31" s="8"/>
      <c r="K31" s="3">
        <v>27</v>
      </c>
      <c r="L31" s="11">
        <v>0.15</v>
      </c>
      <c r="M31" s="11">
        <v>0.09</v>
      </c>
      <c r="T31" s="7"/>
    </row>
    <row r="32" spans="1:20" ht="42" customHeight="1" x14ac:dyDescent="0.3">
      <c r="C32" s="8"/>
      <c r="K32" s="3">
        <v>28</v>
      </c>
      <c r="L32" s="11">
        <v>0.06</v>
      </c>
      <c r="M32" s="11">
        <v>0.04</v>
      </c>
      <c r="T32" s="7"/>
    </row>
    <row r="33" spans="3:20" ht="42" customHeight="1" x14ac:dyDescent="0.3">
      <c r="C33" s="8"/>
      <c r="K33" s="3">
        <v>29</v>
      </c>
      <c r="L33" s="11">
        <v>0.06</v>
      </c>
      <c r="M33" s="11">
        <v>0.15</v>
      </c>
      <c r="T33" s="7"/>
    </row>
    <row r="34" spans="3:20" ht="42" customHeight="1" x14ac:dyDescent="0.3">
      <c r="C34" s="8"/>
      <c r="K34" s="3">
        <v>30</v>
      </c>
      <c r="L34" s="11">
        <v>0.11</v>
      </c>
      <c r="M34" s="11">
        <v>0.15</v>
      </c>
      <c r="T34" s="7"/>
    </row>
    <row r="35" spans="3:20" ht="42" customHeight="1" x14ac:dyDescent="0.3">
      <c r="C35" s="8"/>
      <c r="K35" s="3">
        <v>31</v>
      </c>
      <c r="L35" s="11">
        <v>0.01</v>
      </c>
      <c r="M35" s="11">
        <v>0.06</v>
      </c>
      <c r="T35" s="7"/>
    </row>
    <row r="36" spans="3:20" ht="42" customHeight="1" x14ac:dyDescent="0.3">
      <c r="C36" s="8"/>
      <c r="K36" s="3">
        <v>32</v>
      </c>
      <c r="L36" s="11">
        <v>0.2</v>
      </c>
      <c r="M36" s="11">
        <v>0.05</v>
      </c>
      <c r="T36" s="7"/>
    </row>
    <row r="37" spans="3:20" ht="42" customHeight="1" x14ac:dyDescent="0.3">
      <c r="K37" s="3">
        <v>33</v>
      </c>
      <c r="L37" s="11">
        <v>7.0000000000000007E-2</v>
      </c>
      <c r="M37" s="11">
        <v>0.11</v>
      </c>
    </row>
    <row r="38" spans="3:20" ht="42" customHeight="1" x14ac:dyDescent="0.3">
      <c r="K38" s="3">
        <v>34</v>
      </c>
      <c r="L38" s="11">
        <v>0.05</v>
      </c>
      <c r="M38" s="11">
        <v>0.17</v>
      </c>
    </row>
    <row r="39" spans="3:20" ht="42" customHeight="1" x14ac:dyDescent="0.3">
      <c r="K39" s="3">
        <v>35</v>
      </c>
      <c r="L39" s="11">
        <v>0.13</v>
      </c>
      <c r="M39" s="11">
        <v>0.1</v>
      </c>
    </row>
    <row r="40" spans="3:20" ht="42" customHeight="1" x14ac:dyDescent="0.3">
      <c r="K40" s="3">
        <v>36</v>
      </c>
      <c r="L40" s="11">
        <v>7.0000000000000007E-2</v>
      </c>
      <c r="M40" s="11">
        <v>0.2</v>
      </c>
    </row>
    <row r="41" spans="3:20" ht="42" customHeight="1" x14ac:dyDescent="0.3">
      <c r="K41" s="3">
        <v>37</v>
      </c>
      <c r="L41" s="11">
        <v>0.08</v>
      </c>
      <c r="M41" s="11">
        <v>0.11</v>
      </c>
    </row>
    <row r="42" spans="3:20" ht="42" customHeight="1" x14ac:dyDescent="0.3">
      <c r="K42" s="3">
        <v>38</v>
      </c>
      <c r="L42" s="11">
        <v>7.0000000000000007E-2</v>
      </c>
      <c r="M42" s="11">
        <v>0.1</v>
      </c>
    </row>
    <row r="43" spans="3:20" ht="42" customHeight="1" x14ac:dyDescent="0.3">
      <c r="K43" s="3">
        <v>39</v>
      </c>
      <c r="L43" s="11">
        <v>0.05</v>
      </c>
      <c r="M43" s="11">
        <v>0.11</v>
      </c>
    </row>
    <row r="44" spans="3:20" ht="42" customHeight="1" x14ac:dyDescent="0.3">
      <c r="K44" s="3">
        <v>40</v>
      </c>
      <c r="L44" s="11">
        <v>0.11</v>
      </c>
      <c r="M44" s="11">
        <v>0.12</v>
      </c>
    </row>
    <row r="45" spans="3:20" ht="42" customHeight="1" x14ac:dyDescent="0.3">
      <c r="K45" s="3">
        <v>41</v>
      </c>
      <c r="L45" s="11">
        <v>0.16</v>
      </c>
      <c r="M45" s="11">
        <v>0.13</v>
      </c>
    </row>
    <row r="46" spans="3:20" ht="42" customHeight="1" x14ac:dyDescent="0.3">
      <c r="K46" s="3">
        <v>42</v>
      </c>
      <c r="L46" s="11">
        <v>0.19</v>
      </c>
      <c r="M46" s="11">
        <v>0.09</v>
      </c>
    </row>
    <row r="47" spans="3:20" ht="42" customHeight="1" x14ac:dyDescent="0.3">
      <c r="K47" s="3">
        <v>43</v>
      </c>
      <c r="L47" s="11">
        <v>0.03</v>
      </c>
      <c r="M47" s="11">
        <v>0.06</v>
      </c>
    </row>
    <row r="48" spans="3:20" ht="42" customHeight="1" x14ac:dyDescent="0.3">
      <c r="K48" s="3">
        <v>44</v>
      </c>
      <c r="L48" s="11">
        <v>0.2</v>
      </c>
      <c r="M48" s="11">
        <v>0.02</v>
      </c>
    </row>
    <row r="49" spans="11:13" ht="42" customHeight="1" x14ac:dyDescent="0.3">
      <c r="K49" s="3">
        <v>45</v>
      </c>
      <c r="L49" s="11">
        <v>0.16</v>
      </c>
      <c r="M49" s="11">
        <v>0.04</v>
      </c>
    </row>
    <row r="50" spans="11:13" ht="42" customHeight="1" x14ac:dyDescent="0.3">
      <c r="K50" s="3">
        <v>46</v>
      </c>
      <c r="L50" s="11">
        <v>7.0000000000000007E-2</v>
      </c>
      <c r="M50" s="11">
        <v>0.05</v>
      </c>
    </row>
    <row r="51" spans="11:13" ht="42" customHeight="1" x14ac:dyDescent="0.3">
      <c r="K51" s="3">
        <v>47</v>
      </c>
      <c r="L51" s="11">
        <v>0.05</v>
      </c>
      <c r="M51" s="11">
        <v>0.02</v>
      </c>
    </row>
    <row r="52" spans="11:13" ht="42" customHeight="1" x14ac:dyDescent="0.3">
      <c r="K52" s="3">
        <v>48</v>
      </c>
      <c r="L52" s="11">
        <v>0.16</v>
      </c>
      <c r="M52" s="11">
        <v>0.09</v>
      </c>
    </row>
    <row r="53" spans="11:13" ht="42" customHeight="1" x14ac:dyDescent="0.3">
      <c r="K53" s="3">
        <v>49</v>
      </c>
      <c r="L53" s="11">
        <v>0.04</v>
      </c>
      <c r="M53" s="11">
        <v>0.15</v>
      </c>
    </row>
    <row r="54" spans="11:13" ht="42" customHeight="1" x14ac:dyDescent="0.3">
      <c r="K54" s="3">
        <v>50</v>
      </c>
      <c r="L54" s="11">
        <v>0.03</v>
      </c>
      <c r="M54" s="11">
        <v>7.0000000000000007E-2</v>
      </c>
    </row>
    <row r="55" spans="11:13" ht="42" customHeight="1" x14ac:dyDescent="0.3">
      <c r="K55" s="3">
        <v>51</v>
      </c>
      <c r="L55" s="11">
        <v>7.0000000000000007E-2</v>
      </c>
      <c r="M55" s="11">
        <v>0.05</v>
      </c>
    </row>
    <row r="56" spans="11:13" ht="42" customHeight="1" x14ac:dyDescent="0.3">
      <c r="K56" s="3">
        <v>52</v>
      </c>
      <c r="L56" s="11">
        <v>0.19</v>
      </c>
      <c r="M56" s="11">
        <v>0.05</v>
      </c>
    </row>
    <row r="57" spans="11:13" ht="42" customHeight="1" x14ac:dyDescent="0.3">
      <c r="K57" s="3">
        <v>53</v>
      </c>
      <c r="L57" s="11">
        <v>0.02</v>
      </c>
      <c r="M57" s="11">
        <v>0.03</v>
      </c>
    </row>
    <row r="58" spans="11:13" ht="42" customHeight="1" x14ac:dyDescent="0.3">
      <c r="K58" s="3">
        <v>54</v>
      </c>
      <c r="L58" s="11">
        <v>0.19</v>
      </c>
      <c r="M58" s="11">
        <v>0.01</v>
      </c>
    </row>
    <row r="59" spans="11:13" ht="42" customHeight="1" x14ac:dyDescent="0.3">
      <c r="K59" s="3">
        <v>55</v>
      </c>
      <c r="L59" s="11">
        <v>0.12</v>
      </c>
      <c r="M59" s="11">
        <v>0.16</v>
      </c>
    </row>
    <row r="60" spans="11:13" ht="42" customHeight="1" x14ac:dyDescent="0.3">
      <c r="K60" s="3">
        <v>56</v>
      </c>
      <c r="L60" s="11">
        <v>7.0000000000000007E-2</v>
      </c>
      <c r="M60" s="11">
        <v>0.12</v>
      </c>
    </row>
    <row r="61" spans="11:13" ht="42" customHeight="1" x14ac:dyDescent="0.3">
      <c r="K61" s="3">
        <v>57</v>
      </c>
      <c r="L61" s="11">
        <v>0.08</v>
      </c>
      <c r="M61" s="11">
        <v>0.09</v>
      </c>
    </row>
    <row r="62" spans="11:13" ht="42" customHeight="1" x14ac:dyDescent="0.3">
      <c r="K62" s="3">
        <v>58</v>
      </c>
      <c r="L62" s="11">
        <v>0.01</v>
      </c>
      <c r="M62" s="11">
        <v>0.18</v>
      </c>
    </row>
    <row r="63" spans="11:13" ht="42" customHeight="1" x14ac:dyDescent="0.3">
      <c r="K63" s="3">
        <v>59</v>
      </c>
      <c r="L63" s="11">
        <v>0.14000000000000001</v>
      </c>
      <c r="M63" s="11">
        <v>0.01</v>
      </c>
    </row>
    <row r="64" spans="11:13" ht="42" customHeight="1" x14ac:dyDescent="0.3">
      <c r="K64" s="3">
        <v>60</v>
      </c>
      <c r="L64" s="11">
        <v>0.05</v>
      </c>
      <c r="M64" s="11">
        <v>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103F-47C6-4C28-B110-A9156B9E324B}">
  <dimension ref="A3:AT36"/>
  <sheetViews>
    <sheetView workbookViewId="0"/>
  </sheetViews>
  <sheetFormatPr defaultColWidth="27.5546875" defaultRowHeight="18" x14ac:dyDescent="0.3"/>
  <cols>
    <col min="1" max="16384" width="27.5546875" style="3"/>
  </cols>
  <sheetData>
    <row r="3" spans="1:46" ht="42" customHeight="1" x14ac:dyDescent="0.3">
      <c r="N3" s="3" t="s">
        <v>13</v>
      </c>
    </row>
    <row r="4" spans="1:46" ht="42" customHeight="1" x14ac:dyDescent="0.3">
      <c r="B4" s="4" t="s">
        <v>0</v>
      </c>
      <c r="C4" s="4" t="s">
        <v>7</v>
      </c>
      <c r="D4" s="4" t="s">
        <v>9</v>
      </c>
      <c r="E4" s="4" t="s">
        <v>10</v>
      </c>
      <c r="F4" s="4" t="s">
        <v>11</v>
      </c>
      <c r="G4" s="4" t="s">
        <v>12</v>
      </c>
      <c r="I4" s="4" t="s">
        <v>18</v>
      </c>
      <c r="J4" s="3" t="s">
        <v>24</v>
      </c>
      <c r="M4" s="5" t="s">
        <v>14</v>
      </c>
      <c r="N4" s="3" t="s">
        <v>15</v>
      </c>
      <c r="O4" s="6">
        <v>1</v>
      </c>
      <c r="P4" s="6">
        <v>2</v>
      </c>
      <c r="Q4" s="6">
        <v>3</v>
      </c>
      <c r="R4" s="6">
        <v>4</v>
      </c>
      <c r="S4" s="6">
        <v>5</v>
      </c>
      <c r="T4" s="6">
        <v>6</v>
      </c>
      <c r="U4" s="6">
        <v>7</v>
      </c>
      <c r="V4" s="6">
        <v>8</v>
      </c>
      <c r="W4" s="6">
        <v>9</v>
      </c>
      <c r="X4" s="6">
        <v>10</v>
      </c>
      <c r="Y4" s="6">
        <v>11</v>
      </c>
      <c r="Z4" s="6">
        <v>12</v>
      </c>
      <c r="AA4" s="6">
        <v>13</v>
      </c>
      <c r="AB4" s="6">
        <v>14</v>
      </c>
      <c r="AC4" s="6">
        <v>15</v>
      </c>
      <c r="AD4" s="6">
        <v>16</v>
      </c>
      <c r="AE4" s="6">
        <v>17</v>
      </c>
      <c r="AF4" s="6">
        <v>18</v>
      </c>
      <c r="AG4" s="6">
        <v>19</v>
      </c>
      <c r="AH4" s="6">
        <v>20</v>
      </c>
      <c r="AI4" s="6">
        <v>21</v>
      </c>
      <c r="AJ4" s="6">
        <v>22</v>
      </c>
      <c r="AK4" s="6">
        <v>23</v>
      </c>
      <c r="AL4" s="6">
        <v>24</v>
      </c>
      <c r="AM4" s="6">
        <v>25</v>
      </c>
      <c r="AN4" s="6">
        <v>26</v>
      </c>
      <c r="AO4" s="6">
        <v>27</v>
      </c>
      <c r="AP4" s="6">
        <v>28</v>
      </c>
      <c r="AQ4" s="6">
        <v>29</v>
      </c>
      <c r="AR4" s="6">
        <v>30</v>
      </c>
      <c r="AS4" s="6">
        <v>31</v>
      </c>
      <c r="AT4" s="6">
        <v>32</v>
      </c>
    </row>
    <row r="5" spans="1:46" ht="42" customHeight="1" x14ac:dyDescent="0.3">
      <c r="A5" s="4" t="s">
        <v>16</v>
      </c>
      <c r="B5" s="3">
        <v>1</v>
      </c>
      <c r="C5" s="8">
        <v>2</v>
      </c>
      <c r="D5" s="3">
        <v>0</v>
      </c>
      <c r="E5" s="3">
        <v>0</v>
      </c>
      <c r="F5" s="3">
        <v>0</v>
      </c>
      <c r="G5" s="3">
        <v>0</v>
      </c>
      <c r="I5" s="3">
        <v>1</v>
      </c>
      <c r="J5" s="3">
        <v>13</v>
      </c>
      <c r="N5" s="7">
        <v>1</v>
      </c>
      <c r="O5" s="3">
        <f>IF(IFERROR('j309-3'!K2,0)=0,0,1)</f>
        <v>0</v>
      </c>
      <c r="P5" s="3">
        <f>IF(IFERROR('j309-3'!L2,0)=0,0,1)</f>
        <v>1</v>
      </c>
      <c r="Q5" s="3">
        <f>IF(IFERROR('j309-3'!M2,0)=0,0,1)</f>
        <v>1</v>
      </c>
      <c r="R5" s="3">
        <f>IF(IFERROR('j309-3'!N2,0)=0,0,1)</f>
        <v>1</v>
      </c>
      <c r="S5" s="3">
        <f>IF(IFERROR('j309-3'!O2,0)=0,0,1)</f>
        <v>0</v>
      </c>
      <c r="T5" s="3">
        <f>IF(IFERROR('j309-3'!P2,0)=0,0,1)</f>
        <v>0</v>
      </c>
      <c r="U5" s="3">
        <f>IF(IFERROR('j309-3'!Q2,0)=0,0,1)</f>
        <v>0</v>
      </c>
      <c r="V5" s="3">
        <f>IF(IFERROR('j309-3'!R2,0)=0,0,1)</f>
        <v>0</v>
      </c>
      <c r="W5" s="3">
        <f>IF(IFERROR('j309-3'!S2,0)=0,0,1)</f>
        <v>0</v>
      </c>
      <c r="X5" s="3">
        <f>IF(IFERROR('j309-3'!T2,0)=0,0,1)</f>
        <v>0</v>
      </c>
      <c r="Y5" s="3">
        <f>IF(IFERROR('j309-3'!U2,0)=0,0,1)</f>
        <v>0</v>
      </c>
      <c r="Z5" s="3">
        <f>IF(IFERROR('j309-3'!V2,0)=0,0,1)</f>
        <v>0</v>
      </c>
      <c r="AA5" s="3">
        <f>IF(IFERROR('j309-3'!W2,0)=0,0,1)</f>
        <v>0</v>
      </c>
      <c r="AB5" s="3">
        <f>IF(IFERROR('j309-3'!X2,0)=0,0,1)</f>
        <v>0</v>
      </c>
      <c r="AC5" s="3">
        <f>IF(IFERROR('j309-3'!Y2,0)=0,0,1)</f>
        <v>0</v>
      </c>
      <c r="AD5" s="3">
        <f>IF(IFERROR('j309-3'!Z2,0)=0,0,1)</f>
        <v>0</v>
      </c>
      <c r="AE5" s="3">
        <f>IF(IFERROR('j309-3'!AA2,0)=0,0,1)</f>
        <v>0</v>
      </c>
      <c r="AF5" s="3">
        <f>IF(IFERROR('j309-3'!AB2,0)=0,0,1)</f>
        <v>0</v>
      </c>
      <c r="AG5" s="3">
        <f>IF(IFERROR('j309-3'!AC2,0)=0,0,1)</f>
        <v>0</v>
      </c>
      <c r="AH5" s="3">
        <f>IF(IFERROR('j309-3'!AD2,0)=0,0,1)</f>
        <v>0</v>
      </c>
      <c r="AI5" s="3">
        <f>IF(IFERROR('j309-3'!AE2,0)=0,0,1)</f>
        <v>0</v>
      </c>
      <c r="AJ5" s="3">
        <f>IF(IFERROR('j309-3'!AF2,0)=0,0,1)</f>
        <v>0</v>
      </c>
      <c r="AK5" s="3">
        <f>IF(IFERROR('j309-3'!AG2,0)=0,0,1)</f>
        <v>0</v>
      </c>
      <c r="AL5" s="3">
        <f>IF(IFERROR('j309-3'!AH2,0)=0,0,1)</f>
        <v>0</v>
      </c>
      <c r="AM5" s="3">
        <f>IF(IFERROR('j309-3'!AI2,0)=0,0,1)</f>
        <v>0</v>
      </c>
      <c r="AN5" s="3">
        <f>IF(IFERROR('j309-3'!AJ2,0)=0,0,1)</f>
        <v>0</v>
      </c>
      <c r="AO5" s="3">
        <f>IF(IFERROR('j309-3'!AK2,0)=0,0,1)</f>
        <v>0</v>
      </c>
      <c r="AP5" s="3">
        <f>IF(IFERROR('j309-3'!AL2,0)=0,0,1)</f>
        <v>0</v>
      </c>
      <c r="AQ5" s="3">
        <f>IF(IFERROR('j309-3'!AM2,0)=0,0,1)</f>
        <v>0</v>
      </c>
      <c r="AR5" s="3">
        <f>IF(IFERROR('j309-3'!AN2,0)=0,0,1)</f>
        <v>0</v>
      </c>
      <c r="AS5" s="3">
        <f>IF(IFERROR('j309-3'!AO2,0)=0,0,1)</f>
        <v>0</v>
      </c>
      <c r="AT5" s="3">
        <f>IF(IFERROR('j309-3'!AP2,0)=0,0,1)</f>
        <v>0</v>
      </c>
    </row>
    <row r="6" spans="1:46" ht="42" customHeight="1" x14ac:dyDescent="0.3">
      <c r="A6" s="3">
        <f>COUNT(B5:B50)</f>
        <v>32</v>
      </c>
      <c r="B6" s="3">
        <v>2</v>
      </c>
      <c r="C6" s="8">
        <v>10</v>
      </c>
      <c r="D6" s="3">
        <v>8</v>
      </c>
      <c r="E6" s="3">
        <v>0</v>
      </c>
      <c r="F6" s="3">
        <v>4</v>
      </c>
      <c r="G6" s="3">
        <v>4</v>
      </c>
      <c r="I6" s="3">
        <v>2</v>
      </c>
      <c r="J6" s="3">
        <v>17</v>
      </c>
      <c r="N6" s="7">
        <v>2</v>
      </c>
      <c r="O6" s="3">
        <f>IF(IFERROR('j309-3'!K3,0)=0,0,1)</f>
        <v>0</v>
      </c>
      <c r="P6" s="3">
        <f>IF(IFERROR('j309-3'!L3,0)=0,0,1)</f>
        <v>0</v>
      </c>
      <c r="Q6" s="3">
        <f>IF(IFERROR('j309-3'!M3,0)=0,0,1)</f>
        <v>0</v>
      </c>
      <c r="R6" s="3">
        <f>IF(IFERROR('j309-3'!N3,0)=0,0,1)</f>
        <v>0</v>
      </c>
      <c r="S6" s="3">
        <f>IF(IFERROR('j309-3'!O3,0)=0,0,1)</f>
        <v>1</v>
      </c>
      <c r="T6" s="3">
        <f>IF(IFERROR('j309-3'!P3,0)=0,0,1)</f>
        <v>0</v>
      </c>
      <c r="U6" s="3">
        <f>IF(IFERROR('j309-3'!Q3,0)=0,0,1)</f>
        <v>0</v>
      </c>
      <c r="V6" s="3">
        <f>IF(IFERROR('j309-3'!R3,0)=0,0,1)</f>
        <v>0</v>
      </c>
      <c r="W6" s="3">
        <f>IF(IFERROR('j309-3'!S3,0)=0,0,1)</f>
        <v>0</v>
      </c>
      <c r="X6" s="3">
        <f>IF(IFERROR('j309-3'!T3,0)=0,0,1)</f>
        <v>0</v>
      </c>
      <c r="Y6" s="3">
        <f>IF(IFERROR('j309-3'!U3,0)=0,0,1)</f>
        <v>0</v>
      </c>
      <c r="Z6" s="3">
        <f>IF(IFERROR('j309-3'!V3,0)=0,0,1)</f>
        <v>0</v>
      </c>
      <c r="AA6" s="3">
        <f>IF(IFERROR('j309-3'!W3,0)=0,0,1)</f>
        <v>0</v>
      </c>
      <c r="AB6" s="3">
        <f>IF(IFERROR('j309-3'!X3,0)=0,0,1)</f>
        <v>0</v>
      </c>
      <c r="AC6" s="3">
        <f>IF(IFERROR('j309-3'!Y3,0)=0,0,1)</f>
        <v>0</v>
      </c>
      <c r="AD6" s="3">
        <f>IF(IFERROR('j309-3'!Z3,0)=0,0,1)</f>
        <v>0</v>
      </c>
      <c r="AE6" s="3">
        <f>IF(IFERROR('j309-3'!AA3,0)=0,0,1)</f>
        <v>1</v>
      </c>
      <c r="AF6" s="3">
        <f>IF(IFERROR('j309-3'!AB3,0)=0,0,1)</f>
        <v>0</v>
      </c>
      <c r="AG6" s="3">
        <f>IF(IFERROR('j309-3'!AC3,0)=0,0,1)</f>
        <v>0</v>
      </c>
      <c r="AH6" s="3">
        <f>IF(IFERROR('j309-3'!AD3,0)=0,0,1)</f>
        <v>0</v>
      </c>
      <c r="AI6" s="3">
        <f>IF(IFERROR('j309-3'!AE3,0)=0,0,1)</f>
        <v>0</v>
      </c>
      <c r="AJ6" s="3">
        <f>IF(IFERROR('j309-3'!AF3,0)=0,0,1)</f>
        <v>0</v>
      </c>
      <c r="AK6" s="3">
        <f>IF(IFERROR('j309-3'!AG3,0)=0,0,1)</f>
        <v>0</v>
      </c>
      <c r="AL6" s="3">
        <f>IF(IFERROR('j309-3'!AH3,0)=0,0,1)</f>
        <v>0</v>
      </c>
      <c r="AM6" s="3">
        <f>IF(IFERROR('j309-3'!AI3,0)=0,0,1)</f>
        <v>1</v>
      </c>
      <c r="AN6" s="3">
        <f>IF(IFERROR('j309-3'!AJ3,0)=0,0,1)</f>
        <v>0</v>
      </c>
      <c r="AO6" s="3">
        <f>IF(IFERROR('j309-3'!AK3,0)=0,0,1)</f>
        <v>0</v>
      </c>
      <c r="AP6" s="3">
        <f>IF(IFERROR('j309-3'!AL3,0)=0,0,1)</f>
        <v>0</v>
      </c>
      <c r="AQ6" s="3">
        <f>IF(IFERROR('j309-3'!AM3,0)=0,0,1)</f>
        <v>0</v>
      </c>
      <c r="AR6" s="3">
        <f>IF(IFERROR('j309-3'!AN3,0)=0,0,1)</f>
        <v>0</v>
      </c>
      <c r="AS6" s="3">
        <f>IF(IFERROR('j309-3'!AO3,0)=0,0,1)</f>
        <v>0</v>
      </c>
      <c r="AT6" s="3">
        <f>IF(IFERROR('j309-3'!AP3,0)=0,0,1)</f>
        <v>0</v>
      </c>
    </row>
    <row r="7" spans="1:46" ht="42" customHeight="1" x14ac:dyDescent="0.3">
      <c r="B7" s="3">
        <v>3</v>
      </c>
      <c r="C7" s="8">
        <v>8</v>
      </c>
      <c r="D7" s="3">
        <v>6</v>
      </c>
      <c r="E7" s="3">
        <v>3</v>
      </c>
      <c r="F7" s="3">
        <v>0</v>
      </c>
      <c r="G7" s="3">
        <v>7</v>
      </c>
      <c r="I7" s="3">
        <v>3</v>
      </c>
      <c r="J7" s="3">
        <v>19</v>
      </c>
      <c r="N7" s="7">
        <v>3</v>
      </c>
      <c r="O7" s="3">
        <f>IF(IFERROR('j309-3'!K4,0)=0,0,1)</f>
        <v>0</v>
      </c>
      <c r="P7" s="3">
        <f>IF(IFERROR('j309-3'!L4,0)=0,0,1)</f>
        <v>0</v>
      </c>
      <c r="Q7" s="3">
        <f>IF(IFERROR('j309-3'!M4,0)=0,0,1)</f>
        <v>0</v>
      </c>
      <c r="R7" s="3">
        <f>IF(IFERROR('j309-3'!N4,0)=0,0,1)</f>
        <v>0</v>
      </c>
      <c r="S7" s="3">
        <f>IF(IFERROR('j309-3'!O4,0)=0,0,1)</f>
        <v>0</v>
      </c>
      <c r="T7" s="3">
        <f>IF(IFERROR('j309-3'!P4,0)=0,0,1)</f>
        <v>1</v>
      </c>
      <c r="U7" s="3">
        <f>IF(IFERROR('j309-3'!Q4,0)=0,0,1)</f>
        <v>0</v>
      </c>
      <c r="V7" s="3">
        <f>IF(IFERROR('j309-3'!R4,0)=0,0,1)</f>
        <v>0</v>
      </c>
      <c r="W7" s="3">
        <f>IF(IFERROR('j309-3'!S4,0)=0,0,1)</f>
        <v>1</v>
      </c>
      <c r="X7" s="3">
        <f>IF(IFERROR('j309-3'!T4,0)=0,0,1)</f>
        <v>1</v>
      </c>
      <c r="Y7" s="3">
        <f>IF(IFERROR('j309-3'!U4,0)=0,0,1)</f>
        <v>0</v>
      </c>
      <c r="Z7" s="3">
        <f>IF(IFERROR('j309-3'!V4,0)=0,0,1)</f>
        <v>0</v>
      </c>
      <c r="AA7" s="3">
        <f>IF(IFERROR('j309-3'!W4,0)=0,0,1)</f>
        <v>0</v>
      </c>
      <c r="AB7" s="3">
        <f>IF(IFERROR('j309-3'!X4,0)=0,0,1)</f>
        <v>0</v>
      </c>
      <c r="AC7" s="3">
        <f>IF(IFERROR('j309-3'!Y4,0)=0,0,1)</f>
        <v>0</v>
      </c>
      <c r="AD7" s="3">
        <f>IF(IFERROR('j309-3'!Z4,0)=0,0,1)</f>
        <v>0</v>
      </c>
      <c r="AE7" s="3">
        <f>IF(IFERROR('j309-3'!AA4,0)=0,0,1)</f>
        <v>0</v>
      </c>
      <c r="AF7" s="3">
        <f>IF(IFERROR('j309-3'!AB4,0)=0,0,1)</f>
        <v>0</v>
      </c>
      <c r="AG7" s="3">
        <f>IF(IFERROR('j309-3'!AC4,0)=0,0,1)</f>
        <v>0</v>
      </c>
      <c r="AH7" s="3">
        <f>IF(IFERROR('j309-3'!AD4,0)=0,0,1)</f>
        <v>0</v>
      </c>
      <c r="AI7" s="3">
        <f>IF(IFERROR('j309-3'!AE4,0)=0,0,1)</f>
        <v>0</v>
      </c>
      <c r="AJ7" s="3">
        <f>IF(IFERROR('j309-3'!AF4,0)=0,0,1)</f>
        <v>0</v>
      </c>
      <c r="AK7" s="3">
        <f>IF(IFERROR('j309-3'!AG4,0)=0,0,1)</f>
        <v>0</v>
      </c>
      <c r="AL7" s="3">
        <f>IF(IFERROR('j309-3'!AH4,0)=0,0,1)</f>
        <v>0</v>
      </c>
      <c r="AM7" s="3">
        <f>IF(IFERROR('j309-3'!AI4,0)=0,0,1)</f>
        <v>0</v>
      </c>
      <c r="AN7" s="3">
        <f>IF(IFERROR('j309-3'!AJ4,0)=0,0,1)</f>
        <v>0</v>
      </c>
      <c r="AO7" s="3">
        <f>IF(IFERROR('j309-3'!AK4,0)=0,0,1)</f>
        <v>0</v>
      </c>
      <c r="AP7" s="3">
        <f>IF(IFERROR('j309-3'!AL4,0)=0,0,1)</f>
        <v>0</v>
      </c>
      <c r="AQ7" s="3">
        <f>IF(IFERROR('j309-3'!AM4,0)=0,0,1)</f>
        <v>0</v>
      </c>
      <c r="AR7" s="3">
        <f>IF(IFERROR('j309-3'!AN4,0)=0,0,1)</f>
        <v>0</v>
      </c>
      <c r="AS7" s="3">
        <f>IF(IFERROR('j309-3'!AO4,0)=0,0,1)</f>
        <v>0</v>
      </c>
      <c r="AT7" s="3">
        <f>IF(IFERROR('j309-3'!AP4,0)=0,0,1)</f>
        <v>0</v>
      </c>
    </row>
    <row r="8" spans="1:46" ht="42" customHeight="1" x14ac:dyDescent="0.3">
      <c r="A8" s="4" t="s">
        <v>19</v>
      </c>
      <c r="B8" s="3">
        <v>4</v>
      </c>
      <c r="C8" s="8">
        <v>8</v>
      </c>
      <c r="D8" s="3">
        <v>7</v>
      </c>
      <c r="E8" s="3">
        <v>3</v>
      </c>
      <c r="F8" s="3">
        <v>3</v>
      </c>
      <c r="G8" s="3">
        <v>8</v>
      </c>
      <c r="I8" s="3">
        <v>4</v>
      </c>
      <c r="J8" s="3">
        <v>14</v>
      </c>
      <c r="N8" s="7">
        <v>4</v>
      </c>
      <c r="O8" s="3">
        <f>IF(IFERROR('j309-3'!K5,0)=0,0,1)</f>
        <v>0</v>
      </c>
      <c r="P8" s="3">
        <f>IF(IFERROR('j309-3'!L5,0)=0,0,1)</f>
        <v>0</v>
      </c>
      <c r="Q8" s="3">
        <f>IF(IFERROR('j309-3'!M5,0)=0,0,1)</f>
        <v>0</v>
      </c>
      <c r="R8" s="3">
        <f>IF(IFERROR('j309-3'!N5,0)=0,0,1)</f>
        <v>0</v>
      </c>
      <c r="S8" s="3">
        <f>IF(IFERROR('j309-3'!O5,0)=0,0,1)</f>
        <v>0</v>
      </c>
      <c r="T8" s="3">
        <f>IF(IFERROR('j309-3'!P5,0)=0,0,1)</f>
        <v>0</v>
      </c>
      <c r="U8" s="3">
        <f>IF(IFERROR('j309-3'!Q5,0)=0,0,1)</f>
        <v>0</v>
      </c>
      <c r="V8" s="3">
        <f>IF(IFERROR('j309-3'!R5,0)=0,0,1)</f>
        <v>0</v>
      </c>
      <c r="W8" s="3">
        <f>IF(IFERROR('j309-3'!S5,0)=0,0,1)</f>
        <v>0</v>
      </c>
      <c r="X8" s="3">
        <f>IF(IFERROR('j309-3'!T5,0)=0,0,1)</f>
        <v>0</v>
      </c>
      <c r="Y8" s="3">
        <f>IF(IFERROR('j309-3'!U5,0)=0,0,1)</f>
        <v>0</v>
      </c>
      <c r="Z8" s="3">
        <f>IF(IFERROR('j309-3'!V5,0)=0,0,1)</f>
        <v>0</v>
      </c>
      <c r="AA8" s="3">
        <f>IF(IFERROR('j309-3'!W5,0)=0,0,1)</f>
        <v>0</v>
      </c>
      <c r="AB8" s="3">
        <f>IF(IFERROR('j309-3'!X5,0)=0,0,1)</f>
        <v>0</v>
      </c>
      <c r="AC8" s="3">
        <f>IF(IFERROR('j309-3'!Y5,0)=0,0,1)</f>
        <v>0</v>
      </c>
      <c r="AD8" s="3">
        <f>IF(IFERROR('j309-3'!Z5,0)=0,0,1)</f>
        <v>0</v>
      </c>
      <c r="AE8" s="3">
        <f>IF(IFERROR('j309-3'!AA5,0)=0,0,1)</f>
        <v>1</v>
      </c>
      <c r="AF8" s="3">
        <f>IF(IFERROR('j309-3'!AB5,0)=0,0,1)</f>
        <v>0</v>
      </c>
      <c r="AG8" s="3">
        <f>IF(IFERROR('j309-3'!AC5,0)=0,0,1)</f>
        <v>0</v>
      </c>
      <c r="AH8" s="3">
        <f>IF(IFERROR('j309-3'!AD5,0)=0,0,1)</f>
        <v>0</v>
      </c>
      <c r="AI8" s="3">
        <f>IF(IFERROR('j309-3'!AE5,0)=0,0,1)</f>
        <v>0</v>
      </c>
      <c r="AJ8" s="3">
        <f>IF(IFERROR('j309-3'!AF5,0)=0,0,1)</f>
        <v>0</v>
      </c>
      <c r="AK8" s="3">
        <f>IF(IFERROR('j309-3'!AG5,0)=0,0,1)</f>
        <v>0</v>
      </c>
      <c r="AL8" s="3">
        <f>IF(IFERROR('j309-3'!AH5,0)=0,0,1)</f>
        <v>0</v>
      </c>
      <c r="AM8" s="3">
        <f>IF(IFERROR('j309-3'!AI5,0)=0,0,1)</f>
        <v>0</v>
      </c>
      <c r="AN8" s="3">
        <f>IF(IFERROR('j309-3'!AJ5,0)=0,0,1)</f>
        <v>0</v>
      </c>
      <c r="AO8" s="3">
        <f>IF(IFERROR('j309-3'!AK5,0)=0,0,1)</f>
        <v>0</v>
      </c>
      <c r="AP8" s="3">
        <f>IF(IFERROR('j309-3'!AL5,0)=0,0,1)</f>
        <v>0</v>
      </c>
      <c r="AQ8" s="3">
        <f>IF(IFERROR('j309-3'!AM5,0)=0,0,1)</f>
        <v>0</v>
      </c>
      <c r="AR8" s="3">
        <f>IF(IFERROR('j309-3'!AN5,0)=0,0,1)</f>
        <v>0</v>
      </c>
      <c r="AS8" s="3">
        <f>IF(IFERROR('j309-3'!AO5,0)=0,0,1)</f>
        <v>0</v>
      </c>
      <c r="AT8" s="3">
        <f>IF(IFERROR('j309-3'!AP5,0)=0,0,1)</f>
        <v>0</v>
      </c>
    </row>
    <row r="9" spans="1:46" ht="42" customHeight="1" x14ac:dyDescent="0.3">
      <c r="A9" s="3">
        <f>COUNT(I5:I50)</f>
        <v>4</v>
      </c>
      <c r="B9" s="3">
        <v>5</v>
      </c>
      <c r="C9" s="8">
        <v>4</v>
      </c>
      <c r="D9" s="3">
        <v>7</v>
      </c>
      <c r="E9" s="3">
        <v>1</v>
      </c>
      <c r="F9" s="3">
        <v>6</v>
      </c>
      <c r="G9" s="3">
        <v>10</v>
      </c>
      <c r="N9" s="7">
        <v>5</v>
      </c>
      <c r="O9" s="3">
        <f>IF(IFERROR('j309-3'!K6,0)=0,0,1)</f>
        <v>0</v>
      </c>
      <c r="P9" s="3">
        <f>IF(IFERROR('j309-3'!L6,0)=0,0,1)</f>
        <v>0</v>
      </c>
      <c r="Q9" s="3">
        <f>IF(IFERROR('j309-3'!M6,0)=0,0,1)</f>
        <v>0</v>
      </c>
      <c r="R9" s="3">
        <f>IF(IFERROR('j309-3'!N6,0)=0,0,1)</f>
        <v>0</v>
      </c>
      <c r="S9" s="3">
        <f>IF(IFERROR('j309-3'!O6,0)=0,0,1)</f>
        <v>0</v>
      </c>
      <c r="T9" s="3">
        <f>IF(IFERROR('j309-3'!P6,0)=0,0,1)</f>
        <v>0</v>
      </c>
      <c r="U9" s="3">
        <f>IF(IFERROR('j309-3'!Q6,0)=0,0,1)</f>
        <v>1</v>
      </c>
      <c r="V9" s="3">
        <f>IF(IFERROR('j309-3'!R6,0)=0,0,1)</f>
        <v>0</v>
      </c>
      <c r="W9" s="3">
        <f>IF(IFERROR('j309-3'!S6,0)=0,0,1)</f>
        <v>0</v>
      </c>
      <c r="X9" s="3">
        <f>IF(IFERROR('j309-3'!T6,0)=0,0,1)</f>
        <v>0</v>
      </c>
      <c r="Y9" s="3">
        <f>IF(IFERROR('j309-3'!U6,0)=0,0,1)</f>
        <v>0</v>
      </c>
      <c r="Z9" s="3">
        <f>IF(IFERROR('j309-3'!V6,0)=0,0,1)</f>
        <v>0</v>
      </c>
      <c r="AA9" s="3">
        <f>IF(IFERROR('j309-3'!W6,0)=0,0,1)</f>
        <v>0</v>
      </c>
      <c r="AB9" s="3">
        <f>IF(IFERROR('j309-3'!X6,0)=0,0,1)</f>
        <v>0</v>
      </c>
      <c r="AC9" s="3">
        <f>IF(IFERROR('j309-3'!Y6,0)=0,0,1)</f>
        <v>0</v>
      </c>
      <c r="AD9" s="3">
        <f>IF(IFERROR('j309-3'!Z6,0)=0,0,1)</f>
        <v>0</v>
      </c>
      <c r="AE9" s="3">
        <f>IF(IFERROR('j309-3'!AA6,0)=0,0,1)</f>
        <v>0</v>
      </c>
      <c r="AF9" s="3">
        <f>IF(IFERROR('j309-3'!AB6,0)=0,0,1)</f>
        <v>0</v>
      </c>
      <c r="AG9" s="3">
        <f>IF(IFERROR('j309-3'!AC6,0)=0,0,1)</f>
        <v>0</v>
      </c>
      <c r="AH9" s="3">
        <f>IF(IFERROR('j309-3'!AD6,0)=0,0,1)</f>
        <v>0</v>
      </c>
      <c r="AI9" s="3">
        <f>IF(IFERROR('j309-3'!AE6,0)=0,0,1)</f>
        <v>0</v>
      </c>
      <c r="AJ9" s="3">
        <f>IF(IFERROR('j309-3'!AF6,0)=0,0,1)</f>
        <v>0</v>
      </c>
      <c r="AK9" s="3">
        <f>IF(IFERROR('j309-3'!AG6,0)=0,0,1)</f>
        <v>0</v>
      </c>
      <c r="AL9" s="3">
        <f>IF(IFERROR('j309-3'!AH6,0)=0,0,1)</f>
        <v>0</v>
      </c>
      <c r="AM9" s="3">
        <f>IF(IFERROR('j309-3'!AI6,0)=0,0,1)</f>
        <v>0</v>
      </c>
      <c r="AN9" s="3">
        <f>IF(IFERROR('j309-3'!AJ6,0)=0,0,1)</f>
        <v>0</v>
      </c>
      <c r="AO9" s="3">
        <f>IF(IFERROR('j309-3'!AK6,0)=0,0,1)</f>
        <v>0</v>
      </c>
      <c r="AP9" s="3">
        <f>IF(IFERROR('j309-3'!AL6,0)=0,0,1)</f>
        <v>0</v>
      </c>
      <c r="AQ9" s="3">
        <f>IF(IFERROR('j309-3'!AM6,0)=0,0,1)</f>
        <v>1</v>
      </c>
      <c r="AR9" s="3">
        <f>IF(IFERROR('j309-3'!AN6,0)=0,0,1)</f>
        <v>0</v>
      </c>
      <c r="AS9" s="3">
        <f>IF(IFERROR('j309-3'!AO6,0)=0,0,1)</f>
        <v>0</v>
      </c>
      <c r="AT9" s="3">
        <f>IF(IFERROR('j309-3'!AP6,0)=0,0,1)</f>
        <v>0</v>
      </c>
    </row>
    <row r="10" spans="1:46" ht="42" customHeight="1" x14ac:dyDescent="0.3">
      <c r="B10" s="3">
        <v>6</v>
      </c>
      <c r="C10" s="8">
        <v>3</v>
      </c>
      <c r="D10" s="3">
        <v>6</v>
      </c>
      <c r="E10" s="3">
        <v>2</v>
      </c>
      <c r="F10" s="3">
        <v>0</v>
      </c>
      <c r="G10" s="3">
        <v>10</v>
      </c>
      <c r="N10" s="7">
        <v>6</v>
      </c>
      <c r="O10" s="3">
        <f>IF(IFERROR('j309-3'!K7,0)=0,0,1)</f>
        <v>0</v>
      </c>
      <c r="P10" s="3">
        <f>IF(IFERROR('j309-3'!L7,0)=0,0,1)</f>
        <v>0</v>
      </c>
      <c r="Q10" s="3">
        <f>IF(IFERROR('j309-3'!M7,0)=0,0,1)</f>
        <v>0</v>
      </c>
      <c r="R10" s="3">
        <f>IF(IFERROR('j309-3'!N7,0)=0,0,1)</f>
        <v>0</v>
      </c>
      <c r="S10" s="3">
        <f>IF(IFERROR('j309-3'!O7,0)=0,0,1)</f>
        <v>0</v>
      </c>
      <c r="T10" s="3">
        <f>IF(IFERROR('j309-3'!P7,0)=0,0,1)</f>
        <v>0</v>
      </c>
      <c r="U10" s="3">
        <f>IF(IFERROR('j309-3'!Q7,0)=0,0,1)</f>
        <v>0</v>
      </c>
      <c r="V10" s="3">
        <f>IF(IFERROR('j309-3'!R7,0)=0,0,1)</f>
        <v>1</v>
      </c>
      <c r="W10" s="3">
        <f>IF(IFERROR('j309-3'!S7,0)=0,0,1)</f>
        <v>0</v>
      </c>
      <c r="X10" s="3">
        <f>IF(IFERROR('j309-3'!T7,0)=0,0,1)</f>
        <v>0</v>
      </c>
      <c r="Y10" s="3">
        <f>IF(IFERROR('j309-3'!U7,0)=0,0,1)</f>
        <v>1</v>
      </c>
      <c r="Z10" s="3">
        <f>IF(IFERROR('j309-3'!V7,0)=0,0,1)</f>
        <v>0</v>
      </c>
      <c r="AA10" s="3">
        <f>IF(IFERROR('j309-3'!W7,0)=0,0,1)</f>
        <v>0</v>
      </c>
      <c r="AB10" s="3">
        <f>IF(IFERROR('j309-3'!X7,0)=0,0,1)</f>
        <v>0</v>
      </c>
      <c r="AC10" s="3">
        <f>IF(IFERROR('j309-3'!Y7,0)=0,0,1)</f>
        <v>1</v>
      </c>
      <c r="AD10" s="3">
        <f>IF(IFERROR('j309-3'!Z7,0)=0,0,1)</f>
        <v>0</v>
      </c>
      <c r="AE10" s="3">
        <f>IF(IFERROR('j309-3'!AA7,0)=0,0,1)</f>
        <v>0</v>
      </c>
      <c r="AF10" s="3">
        <f>IF(IFERROR('j309-3'!AB7,0)=0,0,1)</f>
        <v>0</v>
      </c>
      <c r="AG10" s="3">
        <f>IF(IFERROR('j309-3'!AC7,0)=0,0,1)</f>
        <v>0</v>
      </c>
      <c r="AH10" s="3">
        <f>IF(IFERROR('j309-3'!AD7,0)=0,0,1)</f>
        <v>0</v>
      </c>
      <c r="AI10" s="3">
        <f>IF(IFERROR('j309-3'!AE7,0)=0,0,1)</f>
        <v>0</v>
      </c>
      <c r="AJ10" s="3">
        <f>IF(IFERROR('j309-3'!AF7,0)=0,0,1)</f>
        <v>0</v>
      </c>
      <c r="AK10" s="3">
        <f>IF(IFERROR('j309-3'!AG7,0)=0,0,1)</f>
        <v>0</v>
      </c>
      <c r="AL10" s="3">
        <f>IF(IFERROR('j309-3'!AH7,0)=0,0,1)</f>
        <v>0</v>
      </c>
      <c r="AM10" s="3">
        <f>IF(IFERROR('j309-3'!AI7,0)=0,0,1)</f>
        <v>0</v>
      </c>
      <c r="AN10" s="3">
        <f>IF(IFERROR('j309-3'!AJ7,0)=0,0,1)</f>
        <v>0</v>
      </c>
      <c r="AO10" s="3">
        <f>IF(IFERROR('j309-3'!AK7,0)=0,0,1)</f>
        <v>0</v>
      </c>
      <c r="AP10" s="3">
        <f>IF(IFERROR('j309-3'!AL7,0)=0,0,1)</f>
        <v>0</v>
      </c>
      <c r="AQ10" s="3">
        <f>IF(IFERROR('j309-3'!AM7,0)=0,0,1)</f>
        <v>0</v>
      </c>
      <c r="AR10" s="3">
        <f>IF(IFERROR('j309-3'!AN7,0)=0,0,1)</f>
        <v>0</v>
      </c>
      <c r="AS10" s="3">
        <f>IF(IFERROR('j309-3'!AO7,0)=0,0,1)</f>
        <v>0</v>
      </c>
      <c r="AT10" s="3">
        <f>IF(IFERROR('j309-3'!AP7,0)=0,0,1)</f>
        <v>0</v>
      </c>
    </row>
    <row r="11" spans="1:46" ht="42" customHeight="1" x14ac:dyDescent="0.3">
      <c r="A11" s="4" t="s">
        <v>20</v>
      </c>
      <c r="B11" s="3">
        <v>7</v>
      </c>
      <c r="C11" s="8">
        <v>3</v>
      </c>
      <c r="D11" s="3">
        <v>0</v>
      </c>
      <c r="E11" s="3">
        <v>1</v>
      </c>
      <c r="F11" s="3">
        <v>0</v>
      </c>
      <c r="G11" s="3">
        <v>3</v>
      </c>
      <c r="N11" s="7">
        <v>7</v>
      </c>
      <c r="O11" s="3">
        <f>IF(IFERROR('j309-3'!K8,0)=0,0,1)</f>
        <v>0</v>
      </c>
      <c r="P11" s="3">
        <f>IF(IFERROR('j309-3'!L8,0)=0,0,1)</f>
        <v>0</v>
      </c>
      <c r="Q11" s="3">
        <f>IF(IFERROR('j309-3'!M8,0)=0,0,1)</f>
        <v>0</v>
      </c>
      <c r="R11" s="3">
        <f>IF(IFERROR('j309-3'!N8,0)=0,0,1)</f>
        <v>0</v>
      </c>
      <c r="S11" s="3">
        <f>IF(IFERROR('j309-3'!O8,0)=0,0,1)</f>
        <v>0</v>
      </c>
      <c r="T11" s="3">
        <f>IF(IFERROR('j309-3'!P8,0)=0,0,1)</f>
        <v>0</v>
      </c>
      <c r="U11" s="3">
        <f>IF(IFERROR('j309-3'!Q8,0)=0,0,1)</f>
        <v>0</v>
      </c>
      <c r="V11" s="3">
        <f>IF(IFERROR('j309-3'!R8,0)=0,0,1)</f>
        <v>0</v>
      </c>
      <c r="W11" s="3">
        <f>IF(IFERROR('j309-3'!S8,0)=0,0,1)</f>
        <v>0</v>
      </c>
      <c r="X11" s="3">
        <f>IF(IFERROR('j309-3'!T8,0)=0,0,1)</f>
        <v>0</v>
      </c>
      <c r="Y11" s="3">
        <f>IF(IFERROR('j309-3'!U8,0)=0,0,1)</f>
        <v>0</v>
      </c>
      <c r="Z11" s="3">
        <f>IF(IFERROR('j309-3'!V8,0)=0,0,1)</f>
        <v>0</v>
      </c>
      <c r="AA11" s="3">
        <f>IF(IFERROR('j309-3'!W8,0)=0,0,1)</f>
        <v>1</v>
      </c>
      <c r="AB11" s="3">
        <f>IF(IFERROR('j309-3'!X8,0)=0,0,1)</f>
        <v>0</v>
      </c>
      <c r="AC11" s="3">
        <f>IF(IFERROR('j309-3'!Y8,0)=0,0,1)</f>
        <v>0</v>
      </c>
      <c r="AD11" s="3">
        <f>IF(IFERROR('j309-3'!Z8,0)=0,0,1)</f>
        <v>0</v>
      </c>
      <c r="AE11" s="3">
        <f>IF(IFERROR('j309-3'!AA8,0)=0,0,1)</f>
        <v>0</v>
      </c>
      <c r="AF11" s="3">
        <f>IF(IFERROR('j309-3'!AB8,0)=0,0,1)</f>
        <v>0</v>
      </c>
      <c r="AG11" s="3">
        <f>IF(IFERROR('j309-3'!AC8,0)=0,0,1)</f>
        <v>0</v>
      </c>
      <c r="AH11" s="3">
        <f>IF(IFERROR('j309-3'!AD8,0)=0,0,1)</f>
        <v>0</v>
      </c>
      <c r="AI11" s="3">
        <f>IF(IFERROR('j309-3'!AE8,0)=0,0,1)</f>
        <v>0</v>
      </c>
      <c r="AJ11" s="3">
        <f>IF(IFERROR('j309-3'!AF8,0)=0,0,1)</f>
        <v>0</v>
      </c>
      <c r="AK11" s="3">
        <f>IF(IFERROR('j309-3'!AG8,0)=0,0,1)</f>
        <v>0</v>
      </c>
      <c r="AL11" s="3">
        <f>IF(IFERROR('j309-3'!AH8,0)=0,0,1)</f>
        <v>0</v>
      </c>
      <c r="AM11" s="3">
        <f>IF(IFERROR('j309-3'!AI8,0)=0,0,1)</f>
        <v>0</v>
      </c>
      <c r="AN11" s="3">
        <f>IF(IFERROR('j309-3'!AJ8,0)=0,0,1)</f>
        <v>0</v>
      </c>
      <c r="AO11" s="3">
        <f>IF(IFERROR('j309-3'!AK8,0)=0,0,1)</f>
        <v>0</v>
      </c>
      <c r="AP11" s="3">
        <f>IF(IFERROR('j309-3'!AL8,0)=0,0,1)</f>
        <v>0</v>
      </c>
      <c r="AQ11" s="3">
        <f>IF(IFERROR('j309-3'!AM8,0)=0,0,1)</f>
        <v>0</v>
      </c>
      <c r="AR11" s="3">
        <f>IF(IFERROR('j309-3'!AN8,0)=0,0,1)</f>
        <v>0</v>
      </c>
      <c r="AS11" s="3">
        <f>IF(IFERROR('j309-3'!AO8,0)=0,0,1)</f>
        <v>0</v>
      </c>
      <c r="AT11" s="3">
        <f>IF(IFERROR('j309-3'!AP8,0)=0,0,1)</f>
        <v>0</v>
      </c>
    </row>
    <row r="12" spans="1:46" ht="42" customHeight="1" x14ac:dyDescent="0.3">
      <c r="A12" s="8">
        <v>60</v>
      </c>
      <c r="B12" s="3">
        <v>8</v>
      </c>
      <c r="C12" s="8">
        <v>2</v>
      </c>
      <c r="D12" s="3">
        <v>8</v>
      </c>
      <c r="E12" s="3">
        <v>3</v>
      </c>
      <c r="F12" s="3">
        <v>5</v>
      </c>
      <c r="G12" s="3">
        <v>8</v>
      </c>
      <c r="N12" s="7">
        <v>8</v>
      </c>
      <c r="O12" s="3">
        <f>IF(IFERROR('j309-3'!K9,0)=0,0,1)</f>
        <v>0</v>
      </c>
      <c r="P12" s="3">
        <f>IF(IFERROR('j309-3'!L9,0)=0,0,1)</f>
        <v>0</v>
      </c>
      <c r="Q12" s="3">
        <f>IF(IFERROR('j309-3'!M9,0)=0,0,1)</f>
        <v>0</v>
      </c>
      <c r="R12" s="3">
        <f>IF(IFERROR('j309-3'!N9,0)=0,0,1)</f>
        <v>0</v>
      </c>
      <c r="S12" s="3">
        <f>IF(IFERROR('j309-3'!O9,0)=0,0,1)</f>
        <v>0</v>
      </c>
      <c r="T12" s="3">
        <f>IF(IFERROR('j309-3'!P9,0)=0,0,1)</f>
        <v>0</v>
      </c>
      <c r="U12" s="3">
        <f>IF(IFERROR('j309-3'!Q9,0)=0,0,1)</f>
        <v>0</v>
      </c>
      <c r="V12" s="3">
        <f>IF(IFERROR('j309-3'!R9,0)=0,0,1)</f>
        <v>0</v>
      </c>
      <c r="W12" s="3">
        <f>IF(IFERROR('j309-3'!S9,0)=0,0,1)</f>
        <v>0</v>
      </c>
      <c r="X12" s="3">
        <f>IF(IFERROR('j309-3'!T9,0)=0,0,1)</f>
        <v>0</v>
      </c>
      <c r="Y12" s="3">
        <f>IF(IFERROR('j309-3'!U9,0)=0,0,1)</f>
        <v>0</v>
      </c>
      <c r="Z12" s="3">
        <f>IF(IFERROR('j309-3'!V9,0)=0,0,1)</f>
        <v>0</v>
      </c>
      <c r="AA12" s="3">
        <f>IF(IFERROR('j309-3'!W9,0)=0,0,1)</f>
        <v>0</v>
      </c>
      <c r="AB12" s="3">
        <f>IF(IFERROR('j309-3'!X9,0)=0,0,1)</f>
        <v>0</v>
      </c>
      <c r="AC12" s="3">
        <f>IF(IFERROR('j309-3'!Y9,0)=0,0,1)</f>
        <v>0</v>
      </c>
      <c r="AD12" s="3">
        <f>IF(IFERROR('j309-3'!Z9,0)=0,0,1)</f>
        <v>0</v>
      </c>
      <c r="AE12" s="3">
        <f>IF(IFERROR('j309-3'!AA9,0)=0,0,1)</f>
        <v>0</v>
      </c>
      <c r="AF12" s="3">
        <f>IF(IFERROR('j309-3'!AB9,0)=0,0,1)</f>
        <v>0</v>
      </c>
      <c r="AG12" s="3">
        <f>IF(IFERROR('j309-3'!AC9,0)=0,0,1)</f>
        <v>0</v>
      </c>
      <c r="AH12" s="3">
        <f>IF(IFERROR('j309-3'!AD9,0)=0,0,1)</f>
        <v>0</v>
      </c>
      <c r="AI12" s="3">
        <f>IF(IFERROR('j309-3'!AE9,0)=0,0,1)</f>
        <v>0</v>
      </c>
      <c r="AJ12" s="3">
        <f>IF(IFERROR('j309-3'!AF9,0)=0,0,1)</f>
        <v>0</v>
      </c>
      <c r="AK12" s="3">
        <f>IF(IFERROR('j309-3'!AG9,0)=0,0,1)</f>
        <v>0</v>
      </c>
      <c r="AL12" s="3">
        <f>IF(IFERROR('j309-3'!AH9,0)=0,0,1)</f>
        <v>0</v>
      </c>
      <c r="AM12" s="3">
        <f>IF(IFERROR('j309-3'!AI9,0)=0,0,1)</f>
        <v>0</v>
      </c>
      <c r="AN12" s="3">
        <f>IF(IFERROR('j309-3'!AJ9,0)=0,0,1)</f>
        <v>0</v>
      </c>
      <c r="AO12" s="3">
        <f>IF(IFERROR('j309-3'!AK9,0)=0,0,1)</f>
        <v>1</v>
      </c>
      <c r="AP12" s="3">
        <f>IF(IFERROR('j309-3'!AL9,0)=0,0,1)</f>
        <v>0</v>
      </c>
      <c r="AQ12" s="3">
        <f>IF(IFERROR('j309-3'!AM9,0)=0,0,1)</f>
        <v>0</v>
      </c>
      <c r="AR12" s="3">
        <f>IF(IFERROR('j309-3'!AN9,0)=0,0,1)</f>
        <v>0</v>
      </c>
      <c r="AS12" s="3">
        <f>IF(IFERROR('j309-3'!AO9,0)=0,0,1)</f>
        <v>0</v>
      </c>
      <c r="AT12" s="3">
        <f>IF(IFERROR('j309-3'!AP9,0)=0,0,1)</f>
        <v>0</v>
      </c>
    </row>
    <row r="13" spans="1:46" ht="42" customHeight="1" x14ac:dyDescent="0.3">
      <c r="B13" s="3">
        <v>9</v>
      </c>
      <c r="C13" s="8">
        <v>2</v>
      </c>
      <c r="D13" s="3">
        <v>8</v>
      </c>
      <c r="E13" s="3">
        <v>2</v>
      </c>
      <c r="F13" s="3">
        <v>1</v>
      </c>
      <c r="G13" s="3">
        <v>2</v>
      </c>
      <c r="N13" s="7">
        <v>9</v>
      </c>
      <c r="O13" s="3">
        <f>IF(IFERROR('j309-3'!K10,0)=0,0,1)</f>
        <v>0</v>
      </c>
      <c r="P13" s="3">
        <f>IF(IFERROR('j309-3'!L10,0)=0,0,1)</f>
        <v>0</v>
      </c>
      <c r="Q13" s="3">
        <f>IF(IFERROR('j309-3'!M10,0)=0,0,1)</f>
        <v>0</v>
      </c>
      <c r="R13" s="3">
        <f>IF(IFERROR('j309-3'!N10,0)=0,0,1)</f>
        <v>0</v>
      </c>
      <c r="S13" s="3">
        <f>IF(IFERROR('j309-3'!O10,0)=0,0,1)</f>
        <v>0</v>
      </c>
      <c r="T13" s="3">
        <f>IF(IFERROR('j309-3'!P10,0)=0,0,1)</f>
        <v>0</v>
      </c>
      <c r="U13" s="3">
        <f>IF(IFERROR('j309-3'!Q10,0)=0,0,1)</f>
        <v>0</v>
      </c>
      <c r="V13" s="3">
        <f>IF(IFERROR('j309-3'!R10,0)=0,0,1)</f>
        <v>0</v>
      </c>
      <c r="W13" s="3">
        <f>IF(IFERROR('j309-3'!S10,0)=0,0,1)</f>
        <v>0</v>
      </c>
      <c r="X13" s="3">
        <f>IF(IFERROR('j309-3'!T10,0)=0,0,1)</f>
        <v>0</v>
      </c>
      <c r="Y13" s="3">
        <f>IF(IFERROR('j309-3'!U10,0)=0,0,1)</f>
        <v>0</v>
      </c>
      <c r="Z13" s="3">
        <f>IF(IFERROR('j309-3'!V10,0)=0,0,1)</f>
        <v>0</v>
      </c>
      <c r="AA13" s="3">
        <f>IF(IFERROR('j309-3'!W10,0)=0,0,1)</f>
        <v>0</v>
      </c>
      <c r="AB13" s="3">
        <f>IF(IFERROR('j309-3'!X10,0)=0,0,1)</f>
        <v>0</v>
      </c>
      <c r="AC13" s="3">
        <f>IF(IFERROR('j309-3'!Y10,0)=0,0,1)</f>
        <v>0</v>
      </c>
      <c r="AD13" s="3">
        <f>IF(IFERROR('j309-3'!Z10,0)=0,0,1)</f>
        <v>0</v>
      </c>
      <c r="AE13" s="3">
        <f>IF(IFERROR('j309-3'!AA10,0)=0,0,1)</f>
        <v>0</v>
      </c>
      <c r="AF13" s="3">
        <f>IF(IFERROR('j309-3'!AB10,0)=0,0,1)</f>
        <v>1</v>
      </c>
      <c r="AG13" s="3">
        <f>IF(IFERROR('j309-3'!AC10,0)=0,0,1)</f>
        <v>0</v>
      </c>
      <c r="AH13" s="3">
        <f>IF(IFERROR('j309-3'!AD10,0)=0,0,1)</f>
        <v>0</v>
      </c>
      <c r="AI13" s="3">
        <f>IF(IFERROR('j309-3'!AE10,0)=0,0,1)</f>
        <v>1</v>
      </c>
      <c r="AJ13" s="3">
        <f>IF(IFERROR('j309-3'!AF10,0)=0,0,1)</f>
        <v>0</v>
      </c>
      <c r="AK13" s="3">
        <f>IF(IFERROR('j309-3'!AG10,0)=0,0,1)</f>
        <v>0</v>
      </c>
      <c r="AL13" s="3">
        <f>IF(IFERROR('j309-3'!AH10,0)=0,0,1)</f>
        <v>0</v>
      </c>
      <c r="AM13" s="3">
        <f>IF(IFERROR('j309-3'!AI10,0)=0,0,1)</f>
        <v>0</v>
      </c>
      <c r="AN13" s="3">
        <f>IF(IFERROR('j309-3'!AJ10,0)=0,0,1)</f>
        <v>0</v>
      </c>
      <c r="AO13" s="3">
        <f>IF(IFERROR('j309-3'!AK10,0)=0,0,1)</f>
        <v>0</v>
      </c>
      <c r="AP13" s="3">
        <f>IF(IFERROR('j309-3'!AL10,0)=0,0,1)</f>
        <v>0</v>
      </c>
      <c r="AQ13" s="3">
        <f>IF(IFERROR('j309-3'!AM10,0)=0,0,1)</f>
        <v>0</v>
      </c>
      <c r="AR13" s="3">
        <f>IF(IFERROR('j309-3'!AN10,0)=0,0,1)</f>
        <v>1</v>
      </c>
      <c r="AS13" s="3">
        <f>IF(IFERROR('j309-3'!AO10,0)=0,0,1)</f>
        <v>0</v>
      </c>
      <c r="AT13" s="3">
        <f>IF(IFERROR('j309-3'!AP10,0)=0,0,1)</f>
        <v>0</v>
      </c>
    </row>
    <row r="14" spans="1:46" ht="42" customHeight="1" x14ac:dyDescent="0.3">
      <c r="A14" s="4" t="s">
        <v>21</v>
      </c>
      <c r="B14" s="3">
        <v>10</v>
      </c>
      <c r="C14" s="8">
        <v>4</v>
      </c>
      <c r="D14" s="3">
        <v>0</v>
      </c>
      <c r="E14" s="3">
        <v>8</v>
      </c>
      <c r="F14" s="3">
        <v>10</v>
      </c>
      <c r="G14" s="3">
        <v>0</v>
      </c>
      <c r="N14" s="7">
        <v>10</v>
      </c>
      <c r="O14" s="3">
        <f>IF(IFERROR('j309-3'!K11,0)=0,0,1)</f>
        <v>0</v>
      </c>
      <c r="P14" s="3">
        <f>IF(IFERROR('j309-3'!L11,0)=0,0,1)</f>
        <v>0</v>
      </c>
      <c r="Q14" s="3">
        <f>IF(IFERROR('j309-3'!M11,0)=0,0,1)</f>
        <v>0</v>
      </c>
      <c r="R14" s="3">
        <f>IF(IFERROR('j309-3'!N11,0)=0,0,1)</f>
        <v>0</v>
      </c>
      <c r="S14" s="3">
        <f>IF(IFERROR('j309-3'!O11,0)=0,0,1)</f>
        <v>0</v>
      </c>
      <c r="T14" s="3">
        <f>IF(IFERROR('j309-3'!P11,0)=0,0,1)</f>
        <v>0</v>
      </c>
      <c r="U14" s="3">
        <f>IF(IFERROR('j309-3'!Q11,0)=0,0,1)</f>
        <v>0</v>
      </c>
      <c r="V14" s="3">
        <f>IF(IFERROR('j309-3'!R11,0)=0,0,1)</f>
        <v>0</v>
      </c>
      <c r="W14" s="3">
        <f>IF(IFERROR('j309-3'!S11,0)=0,0,1)</f>
        <v>0</v>
      </c>
      <c r="X14" s="3">
        <f>IF(IFERROR('j309-3'!T11,0)=0,0,1)</f>
        <v>0</v>
      </c>
      <c r="Y14" s="3">
        <f>IF(IFERROR('j309-3'!U11,0)=0,0,1)</f>
        <v>0</v>
      </c>
      <c r="Z14" s="3">
        <f>IF(IFERROR('j309-3'!V11,0)=0,0,1)</f>
        <v>1</v>
      </c>
      <c r="AA14" s="3">
        <f>IF(IFERROR('j309-3'!W11,0)=0,0,1)</f>
        <v>0</v>
      </c>
      <c r="AB14" s="3">
        <f>IF(IFERROR('j309-3'!X11,0)=0,0,1)</f>
        <v>1</v>
      </c>
      <c r="AC14" s="3">
        <f>IF(IFERROR('j309-3'!Y11,0)=0,0,1)</f>
        <v>0</v>
      </c>
      <c r="AD14" s="3">
        <f>IF(IFERROR('j309-3'!Z11,0)=0,0,1)</f>
        <v>0</v>
      </c>
      <c r="AE14" s="3">
        <f>IF(IFERROR('j309-3'!AA11,0)=0,0,1)</f>
        <v>0</v>
      </c>
      <c r="AF14" s="3">
        <f>IF(IFERROR('j309-3'!AB11,0)=0,0,1)</f>
        <v>0</v>
      </c>
      <c r="AG14" s="3">
        <f>IF(IFERROR('j309-3'!AC11,0)=0,0,1)</f>
        <v>1</v>
      </c>
      <c r="AH14" s="3">
        <f>IF(IFERROR('j309-3'!AD11,0)=0,0,1)</f>
        <v>0</v>
      </c>
      <c r="AI14" s="3">
        <f>IF(IFERROR('j309-3'!AE11,0)=0,0,1)</f>
        <v>0</v>
      </c>
      <c r="AJ14" s="3">
        <f>IF(IFERROR('j309-3'!AF11,0)=0,0,1)</f>
        <v>0</v>
      </c>
      <c r="AK14" s="3">
        <f>IF(IFERROR('j309-3'!AG11,0)=0,0,1)</f>
        <v>0</v>
      </c>
      <c r="AL14" s="3">
        <f>IF(IFERROR('j309-3'!AH11,0)=0,0,1)</f>
        <v>0</v>
      </c>
      <c r="AM14" s="3">
        <f>IF(IFERROR('j309-3'!AI11,0)=0,0,1)</f>
        <v>0</v>
      </c>
      <c r="AN14" s="3">
        <f>IF(IFERROR('j309-3'!AJ11,0)=0,0,1)</f>
        <v>0</v>
      </c>
      <c r="AO14" s="3">
        <f>IF(IFERROR('j309-3'!AK11,0)=0,0,1)</f>
        <v>0</v>
      </c>
      <c r="AP14" s="3">
        <f>IF(IFERROR('j309-3'!AL11,0)=0,0,1)</f>
        <v>0</v>
      </c>
      <c r="AQ14" s="3">
        <f>IF(IFERROR('j309-3'!AM11,0)=0,0,1)</f>
        <v>0</v>
      </c>
      <c r="AR14" s="3">
        <f>IF(IFERROR('j309-3'!AN11,0)=0,0,1)</f>
        <v>0</v>
      </c>
      <c r="AS14" s="3">
        <f>IF(IFERROR('j309-3'!AO11,0)=0,0,1)</f>
        <v>0</v>
      </c>
      <c r="AT14" s="3">
        <f>IF(IFERROR('j309-3'!AP11,0)=0,0,1)</f>
        <v>0</v>
      </c>
    </row>
    <row r="15" spans="1:46" ht="42" customHeight="1" x14ac:dyDescent="0.3">
      <c r="A15" s="8">
        <v>48</v>
      </c>
      <c r="B15" s="3">
        <v>11</v>
      </c>
      <c r="C15" s="8">
        <v>10</v>
      </c>
      <c r="D15" s="3">
        <v>0</v>
      </c>
      <c r="E15" s="3">
        <v>1</v>
      </c>
      <c r="F15" s="3">
        <v>10</v>
      </c>
      <c r="G15" s="3">
        <v>0</v>
      </c>
      <c r="N15" s="7">
        <v>11</v>
      </c>
      <c r="O15" s="3">
        <f>IF(IFERROR('j309-3'!K12,0)=0,0,1)</f>
        <v>0</v>
      </c>
      <c r="P15" s="3">
        <f>IF(IFERROR('j309-3'!L12,0)=0,0,1)</f>
        <v>0</v>
      </c>
      <c r="Q15" s="3">
        <f>IF(IFERROR('j309-3'!M12,0)=0,0,1)</f>
        <v>0</v>
      </c>
      <c r="R15" s="3">
        <f>IF(IFERROR('j309-3'!N12,0)=0,0,1)</f>
        <v>0</v>
      </c>
      <c r="S15" s="3">
        <f>IF(IFERROR('j309-3'!O12,0)=0,0,1)</f>
        <v>0</v>
      </c>
      <c r="T15" s="3">
        <f>IF(IFERROR('j309-3'!P12,0)=0,0,1)</f>
        <v>0</v>
      </c>
      <c r="U15" s="3">
        <f>IF(IFERROR('j309-3'!Q12,0)=0,0,1)</f>
        <v>0</v>
      </c>
      <c r="V15" s="3">
        <f>IF(IFERROR('j309-3'!R12,0)=0,0,1)</f>
        <v>0</v>
      </c>
      <c r="W15" s="3">
        <f>IF(IFERROR('j309-3'!S12,0)=0,0,1)</f>
        <v>0</v>
      </c>
      <c r="X15" s="3">
        <f>IF(IFERROR('j309-3'!T12,0)=0,0,1)</f>
        <v>0</v>
      </c>
      <c r="Y15" s="3">
        <f>IF(IFERROR('j309-3'!U12,0)=0,0,1)</f>
        <v>0</v>
      </c>
      <c r="Z15" s="3">
        <f>IF(IFERROR('j309-3'!V12,0)=0,0,1)</f>
        <v>0</v>
      </c>
      <c r="AA15" s="3">
        <f>IF(IFERROR('j309-3'!W12,0)=0,0,1)</f>
        <v>0</v>
      </c>
      <c r="AB15" s="3">
        <f>IF(IFERROR('j309-3'!X12,0)=0,0,1)</f>
        <v>0</v>
      </c>
      <c r="AC15" s="3">
        <f>IF(IFERROR('j309-3'!Y12,0)=0,0,1)</f>
        <v>0</v>
      </c>
      <c r="AD15" s="3">
        <f>IF(IFERROR('j309-3'!Z12,0)=0,0,1)</f>
        <v>0</v>
      </c>
      <c r="AE15" s="3">
        <f>IF(IFERROR('j309-3'!AA12,0)=0,0,1)</f>
        <v>0</v>
      </c>
      <c r="AF15" s="3">
        <f>IF(IFERROR('j309-3'!AB12,0)=0,0,1)</f>
        <v>0</v>
      </c>
      <c r="AG15" s="3">
        <f>IF(IFERROR('j309-3'!AC12,0)=0,0,1)</f>
        <v>0</v>
      </c>
      <c r="AH15" s="3">
        <f>IF(IFERROR('j309-3'!AD12,0)=0,0,1)</f>
        <v>0</v>
      </c>
      <c r="AI15" s="3">
        <f>IF(IFERROR('j309-3'!AE12,0)=0,0,1)</f>
        <v>0</v>
      </c>
      <c r="AJ15" s="3">
        <f>IF(IFERROR('j309-3'!AF12,0)=0,0,1)</f>
        <v>1</v>
      </c>
      <c r="AK15" s="3">
        <f>IF(IFERROR('j309-3'!AG12,0)=0,0,1)</f>
        <v>0</v>
      </c>
      <c r="AL15" s="3">
        <f>IF(IFERROR('j309-3'!AH12,0)=0,0,1)</f>
        <v>0</v>
      </c>
      <c r="AM15" s="3">
        <f>IF(IFERROR('j309-3'!AI12,0)=0,0,1)</f>
        <v>0</v>
      </c>
      <c r="AN15" s="3">
        <f>IF(IFERROR('j309-3'!AJ12,0)=0,0,1)</f>
        <v>0</v>
      </c>
      <c r="AO15" s="3">
        <f>IF(IFERROR('j309-3'!AK12,0)=0,0,1)</f>
        <v>0</v>
      </c>
      <c r="AP15" s="3">
        <f>IF(IFERROR('j309-3'!AL12,0)=0,0,1)</f>
        <v>0</v>
      </c>
      <c r="AQ15" s="3">
        <f>IF(IFERROR('j309-3'!AM12,0)=0,0,1)</f>
        <v>0</v>
      </c>
      <c r="AR15" s="3">
        <f>IF(IFERROR('j309-3'!AN12,0)=0,0,1)</f>
        <v>0</v>
      </c>
      <c r="AS15" s="3">
        <f>IF(IFERROR('j309-3'!AO12,0)=0,0,1)</f>
        <v>0</v>
      </c>
      <c r="AT15" s="3">
        <f>IF(IFERROR('j309-3'!AP12,0)=0,0,1)</f>
        <v>0</v>
      </c>
    </row>
    <row r="16" spans="1:46" ht="42" customHeight="1" x14ac:dyDescent="0.3">
      <c r="B16" s="3">
        <v>12</v>
      </c>
      <c r="C16" s="8">
        <v>9</v>
      </c>
      <c r="D16" s="3">
        <v>0</v>
      </c>
      <c r="E16" s="3">
        <v>4</v>
      </c>
      <c r="F16" s="3">
        <v>5</v>
      </c>
      <c r="G16" s="3">
        <v>0</v>
      </c>
      <c r="N16" s="7">
        <v>12</v>
      </c>
      <c r="O16" s="3">
        <f>IF(IFERROR('j309-3'!K13,0)=0,0,1)</f>
        <v>0</v>
      </c>
      <c r="P16" s="3">
        <f>IF(IFERROR('j309-3'!L13,0)=0,0,1)</f>
        <v>0</v>
      </c>
      <c r="Q16" s="3">
        <f>IF(IFERROR('j309-3'!M13,0)=0,0,1)</f>
        <v>0</v>
      </c>
      <c r="R16" s="3">
        <f>IF(IFERROR('j309-3'!N13,0)=0,0,1)</f>
        <v>0</v>
      </c>
      <c r="S16" s="3">
        <f>IF(IFERROR('j309-3'!O13,0)=0,0,1)</f>
        <v>0</v>
      </c>
      <c r="T16" s="3">
        <f>IF(IFERROR('j309-3'!P13,0)=0,0,1)</f>
        <v>0</v>
      </c>
      <c r="U16" s="3">
        <f>IF(IFERROR('j309-3'!Q13,0)=0,0,1)</f>
        <v>0</v>
      </c>
      <c r="V16" s="3">
        <f>IF(IFERROR('j309-3'!R13,0)=0,0,1)</f>
        <v>0</v>
      </c>
      <c r="W16" s="3">
        <f>IF(IFERROR('j309-3'!S13,0)=0,0,1)</f>
        <v>0</v>
      </c>
      <c r="X16" s="3">
        <f>IF(IFERROR('j309-3'!T13,0)=0,0,1)</f>
        <v>0</v>
      </c>
      <c r="Y16" s="3">
        <f>IF(IFERROR('j309-3'!U13,0)=0,0,1)</f>
        <v>0</v>
      </c>
      <c r="Z16" s="3">
        <f>IF(IFERROR('j309-3'!V13,0)=0,0,1)</f>
        <v>0</v>
      </c>
      <c r="AA16" s="3">
        <f>IF(IFERROR('j309-3'!W13,0)=0,0,1)</f>
        <v>0</v>
      </c>
      <c r="AB16" s="3">
        <f>IF(IFERROR('j309-3'!X13,0)=0,0,1)</f>
        <v>0</v>
      </c>
      <c r="AC16" s="3">
        <f>IF(IFERROR('j309-3'!Y13,0)=0,0,1)</f>
        <v>0</v>
      </c>
      <c r="AD16" s="3">
        <f>IF(IFERROR('j309-3'!Z13,0)=0,0,1)</f>
        <v>1</v>
      </c>
      <c r="AE16" s="3">
        <f>IF(IFERROR('j309-3'!AA13,0)=0,0,1)</f>
        <v>0</v>
      </c>
      <c r="AF16" s="3">
        <f>IF(IFERROR('j309-3'!AB13,0)=0,0,1)</f>
        <v>0</v>
      </c>
      <c r="AG16" s="3">
        <f>IF(IFERROR('j309-3'!AC13,0)=0,0,1)</f>
        <v>0</v>
      </c>
      <c r="AH16" s="3">
        <f>IF(IFERROR('j309-3'!AD13,0)=0,0,1)</f>
        <v>0</v>
      </c>
      <c r="AI16" s="3">
        <f>IF(IFERROR('j309-3'!AE13,0)=0,0,1)</f>
        <v>0</v>
      </c>
      <c r="AJ16" s="3">
        <f>IF(IFERROR('j309-3'!AF13,0)=0,0,1)</f>
        <v>1</v>
      </c>
      <c r="AK16" s="3">
        <f>IF(IFERROR('j309-3'!AG13,0)=0,0,1)</f>
        <v>0</v>
      </c>
      <c r="AL16" s="3">
        <f>IF(IFERROR('j309-3'!AH13,0)=0,0,1)</f>
        <v>0</v>
      </c>
      <c r="AM16" s="3">
        <f>IF(IFERROR('j309-3'!AI13,0)=0,0,1)</f>
        <v>0</v>
      </c>
      <c r="AN16" s="3">
        <f>IF(IFERROR('j309-3'!AJ13,0)=0,0,1)</f>
        <v>0</v>
      </c>
      <c r="AO16" s="3">
        <f>IF(IFERROR('j309-3'!AK13,0)=0,0,1)</f>
        <v>0</v>
      </c>
      <c r="AP16" s="3">
        <f>IF(IFERROR('j309-3'!AL13,0)=0,0,1)</f>
        <v>0</v>
      </c>
      <c r="AQ16" s="3">
        <f>IF(IFERROR('j309-3'!AM13,0)=0,0,1)</f>
        <v>0</v>
      </c>
      <c r="AR16" s="3">
        <f>IF(IFERROR('j309-3'!AN13,0)=0,0,1)</f>
        <v>0</v>
      </c>
      <c r="AS16" s="3">
        <f>IF(IFERROR('j309-3'!AO13,0)=0,0,1)</f>
        <v>0</v>
      </c>
      <c r="AT16" s="3">
        <f>IF(IFERROR('j309-3'!AP13,0)=0,0,1)</f>
        <v>0</v>
      </c>
    </row>
    <row r="17" spans="1:46" ht="42" customHeight="1" x14ac:dyDescent="0.3">
      <c r="A17" s="4" t="s">
        <v>22</v>
      </c>
      <c r="B17" s="3">
        <v>13</v>
      </c>
      <c r="C17" s="8">
        <v>10</v>
      </c>
      <c r="D17" s="3">
        <v>3</v>
      </c>
      <c r="E17" s="3">
        <v>0</v>
      </c>
      <c r="F17" s="3">
        <v>4</v>
      </c>
      <c r="G17" s="3">
        <v>8</v>
      </c>
      <c r="N17" s="7">
        <v>13</v>
      </c>
      <c r="O17" s="3">
        <f>IF(IFERROR('j309-3'!K14,0)=0,0,1)</f>
        <v>0</v>
      </c>
      <c r="P17" s="3">
        <f>IF(IFERROR('j309-3'!L14,0)=0,0,1)</f>
        <v>0</v>
      </c>
      <c r="Q17" s="3">
        <f>IF(IFERROR('j309-3'!M14,0)=0,0,1)</f>
        <v>0</v>
      </c>
      <c r="R17" s="3">
        <f>IF(IFERROR('j309-3'!N14,0)=0,0,1)</f>
        <v>0</v>
      </c>
      <c r="S17" s="3">
        <f>IF(IFERROR('j309-3'!O14,0)=0,0,1)</f>
        <v>0</v>
      </c>
      <c r="T17" s="3">
        <f>IF(IFERROR('j309-3'!P14,0)=0,0,1)</f>
        <v>0</v>
      </c>
      <c r="U17" s="3">
        <f>IF(IFERROR('j309-3'!Q14,0)=0,0,1)</f>
        <v>0</v>
      </c>
      <c r="V17" s="3">
        <f>IF(IFERROR('j309-3'!R14,0)=0,0,1)</f>
        <v>0</v>
      </c>
      <c r="W17" s="3">
        <f>IF(IFERROR('j309-3'!S14,0)=0,0,1)</f>
        <v>0</v>
      </c>
      <c r="X17" s="3">
        <f>IF(IFERROR('j309-3'!T14,0)=0,0,1)</f>
        <v>0</v>
      </c>
      <c r="Y17" s="3">
        <f>IF(IFERROR('j309-3'!U14,0)=0,0,1)</f>
        <v>0</v>
      </c>
      <c r="Z17" s="3">
        <f>IF(IFERROR('j309-3'!V14,0)=0,0,1)</f>
        <v>0</v>
      </c>
      <c r="AA17" s="3">
        <f>IF(IFERROR('j309-3'!W14,0)=0,0,1)</f>
        <v>0</v>
      </c>
      <c r="AB17" s="3">
        <f>IF(IFERROR('j309-3'!X14,0)=0,0,1)</f>
        <v>0</v>
      </c>
      <c r="AC17" s="3">
        <f>IF(IFERROR('j309-3'!Y14,0)=0,0,1)</f>
        <v>0</v>
      </c>
      <c r="AD17" s="3">
        <f>IF(IFERROR('j309-3'!Z14,0)=0,0,1)</f>
        <v>0</v>
      </c>
      <c r="AE17" s="3">
        <f>IF(IFERROR('j309-3'!AA14,0)=0,0,1)</f>
        <v>0</v>
      </c>
      <c r="AF17" s="3">
        <f>IF(IFERROR('j309-3'!AB14,0)=0,0,1)</f>
        <v>0</v>
      </c>
      <c r="AG17" s="3">
        <f>IF(IFERROR('j309-3'!AC14,0)=0,0,1)</f>
        <v>0</v>
      </c>
      <c r="AH17" s="3">
        <f>IF(IFERROR('j309-3'!AD14,0)=0,0,1)</f>
        <v>0</v>
      </c>
      <c r="AI17" s="3">
        <f>IF(IFERROR('j309-3'!AE14,0)=0,0,1)</f>
        <v>0</v>
      </c>
      <c r="AJ17" s="3">
        <f>IF(IFERROR('j309-3'!AF14,0)=0,0,1)</f>
        <v>0</v>
      </c>
      <c r="AK17" s="3">
        <f>IF(IFERROR('j309-3'!AG14,0)=0,0,1)</f>
        <v>0</v>
      </c>
      <c r="AL17" s="3">
        <f>IF(IFERROR('j309-3'!AH14,0)=0,0,1)</f>
        <v>1</v>
      </c>
      <c r="AM17" s="3">
        <f>IF(IFERROR('j309-3'!AI14,0)=0,0,1)</f>
        <v>0</v>
      </c>
      <c r="AN17" s="3">
        <f>IF(IFERROR('j309-3'!AJ14,0)=0,0,1)</f>
        <v>0</v>
      </c>
      <c r="AO17" s="3">
        <f>IF(IFERROR('j309-3'!AK14,0)=0,0,1)</f>
        <v>0</v>
      </c>
      <c r="AP17" s="3">
        <f>IF(IFERROR('j309-3'!AL14,0)=0,0,1)</f>
        <v>0</v>
      </c>
      <c r="AQ17" s="3">
        <f>IF(IFERROR('j309-3'!AM14,0)=0,0,1)</f>
        <v>0</v>
      </c>
      <c r="AR17" s="3">
        <f>IF(IFERROR('j309-3'!AN14,0)=0,0,1)</f>
        <v>0</v>
      </c>
      <c r="AS17" s="3">
        <f>IF(IFERROR('j309-3'!AO14,0)=0,0,1)</f>
        <v>1</v>
      </c>
      <c r="AT17" s="3">
        <f>IF(IFERROR('j309-3'!AP14,0)=0,0,1)</f>
        <v>0</v>
      </c>
    </row>
    <row r="18" spans="1:46" ht="42" customHeight="1" x14ac:dyDescent="0.3">
      <c r="A18" s="3">
        <v>24</v>
      </c>
      <c r="B18" s="3">
        <v>14</v>
      </c>
      <c r="C18" s="8">
        <v>9</v>
      </c>
      <c r="D18" s="3">
        <v>4</v>
      </c>
      <c r="E18" s="3">
        <v>6</v>
      </c>
      <c r="F18" s="3">
        <v>9</v>
      </c>
      <c r="G18" s="3">
        <v>3</v>
      </c>
      <c r="N18" s="7">
        <v>14</v>
      </c>
      <c r="O18" s="3">
        <f>IF(IFERROR('j309-3'!K15,0)=0,0,1)</f>
        <v>0</v>
      </c>
      <c r="P18" s="3">
        <f>IF(IFERROR('j309-3'!L15,0)=0,0,1)</f>
        <v>0</v>
      </c>
      <c r="Q18" s="3">
        <f>IF(IFERROR('j309-3'!M15,0)=0,0,1)</f>
        <v>0</v>
      </c>
      <c r="R18" s="3">
        <f>IF(IFERROR('j309-3'!N15,0)=0,0,1)</f>
        <v>0</v>
      </c>
      <c r="S18" s="3">
        <f>IF(IFERROR('j309-3'!O15,0)=0,0,1)</f>
        <v>0</v>
      </c>
      <c r="T18" s="3">
        <f>IF(IFERROR('j309-3'!P15,0)=0,0,1)</f>
        <v>0</v>
      </c>
      <c r="U18" s="3">
        <f>IF(IFERROR('j309-3'!Q15,0)=0,0,1)</f>
        <v>0</v>
      </c>
      <c r="V18" s="3">
        <f>IF(IFERROR('j309-3'!R15,0)=0,0,1)</f>
        <v>0</v>
      </c>
      <c r="W18" s="3">
        <f>IF(IFERROR('j309-3'!S15,0)=0,0,1)</f>
        <v>0</v>
      </c>
      <c r="X18" s="3">
        <f>IF(IFERROR('j309-3'!T15,0)=0,0,1)</f>
        <v>0</v>
      </c>
      <c r="Y18" s="3">
        <f>IF(IFERROR('j309-3'!U15,0)=0,0,1)</f>
        <v>0</v>
      </c>
      <c r="Z18" s="3">
        <f>IF(IFERROR('j309-3'!V15,0)=0,0,1)</f>
        <v>0</v>
      </c>
      <c r="AA18" s="3">
        <f>IF(IFERROR('j309-3'!W15,0)=0,0,1)</f>
        <v>0</v>
      </c>
      <c r="AB18" s="3">
        <f>IF(IFERROR('j309-3'!X15,0)=0,0,1)</f>
        <v>0</v>
      </c>
      <c r="AC18" s="3">
        <f>IF(IFERROR('j309-3'!Y15,0)=0,0,1)</f>
        <v>0</v>
      </c>
      <c r="AD18" s="3">
        <f>IF(IFERROR('j309-3'!Z15,0)=0,0,1)</f>
        <v>0</v>
      </c>
      <c r="AE18" s="3">
        <f>IF(IFERROR('j309-3'!AA15,0)=0,0,1)</f>
        <v>0</v>
      </c>
      <c r="AF18" s="3">
        <f>IF(IFERROR('j309-3'!AB15,0)=0,0,1)</f>
        <v>0</v>
      </c>
      <c r="AG18" s="3">
        <f>IF(IFERROR('j309-3'!AC15,0)=0,0,1)</f>
        <v>0</v>
      </c>
      <c r="AH18" s="3">
        <f>IF(IFERROR('j309-3'!AD15,0)=0,0,1)</f>
        <v>0</v>
      </c>
      <c r="AI18" s="3">
        <f>IF(IFERROR('j309-3'!AE15,0)=0,0,1)</f>
        <v>0</v>
      </c>
      <c r="AJ18" s="3">
        <f>IF(IFERROR('j309-3'!AF15,0)=0,0,1)</f>
        <v>0</v>
      </c>
      <c r="AK18" s="3">
        <f>IF(IFERROR('j309-3'!AG15,0)=0,0,1)</f>
        <v>0</v>
      </c>
      <c r="AL18" s="3">
        <f>IF(IFERROR('j309-3'!AH15,0)=0,0,1)</f>
        <v>0</v>
      </c>
      <c r="AM18" s="3">
        <f>IF(IFERROR('j309-3'!AI15,0)=0,0,1)</f>
        <v>1</v>
      </c>
      <c r="AN18" s="3">
        <f>IF(IFERROR('j309-3'!AJ15,0)=0,0,1)</f>
        <v>0</v>
      </c>
      <c r="AO18" s="3">
        <f>IF(IFERROR('j309-3'!AK15,0)=0,0,1)</f>
        <v>1</v>
      </c>
      <c r="AP18" s="3">
        <f>IF(IFERROR('j309-3'!AL15,0)=0,0,1)</f>
        <v>0</v>
      </c>
      <c r="AQ18" s="3">
        <f>IF(IFERROR('j309-3'!AM15,0)=0,0,1)</f>
        <v>0</v>
      </c>
      <c r="AR18" s="3">
        <f>IF(IFERROR('j309-3'!AN15,0)=0,0,1)</f>
        <v>0</v>
      </c>
      <c r="AS18" s="3">
        <f>IF(IFERROR('j309-3'!AO15,0)=0,0,1)</f>
        <v>0</v>
      </c>
      <c r="AT18" s="3">
        <f>IF(IFERROR('j309-3'!AP15,0)=0,0,1)</f>
        <v>0</v>
      </c>
    </row>
    <row r="19" spans="1:46" ht="42" customHeight="1" x14ac:dyDescent="0.3">
      <c r="B19" s="3">
        <v>15</v>
      </c>
      <c r="C19" s="8">
        <v>10</v>
      </c>
      <c r="D19" s="3">
        <v>0</v>
      </c>
      <c r="E19" s="3">
        <v>10</v>
      </c>
      <c r="F19" s="3">
        <v>7</v>
      </c>
      <c r="G19" s="3">
        <v>0</v>
      </c>
      <c r="N19" s="7">
        <v>15</v>
      </c>
      <c r="O19" s="3">
        <f>IF(IFERROR('j309-3'!K16,0)=0,0,1)</f>
        <v>0</v>
      </c>
      <c r="P19" s="3">
        <f>IF(IFERROR('j309-3'!L16,0)=0,0,1)</f>
        <v>0</v>
      </c>
      <c r="Q19" s="3">
        <f>IF(IFERROR('j309-3'!M16,0)=0,0,1)</f>
        <v>0</v>
      </c>
      <c r="R19" s="3">
        <f>IF(IFERROR('j309-3'!N16,0)=0,0,1)</f>
        <v>0</v>
      </c>
      <c r="S19" s="3">
        <f>IF(IFERROR('j309-3'!O16,0)=0,0,1)</f>
        <v>0</v>
      </c>
      <c r="T19" s="3">
        <f>IF(IFERROR('j309-3'!P16,0)=0,0,1)</f>
        <v>0</v>
      </c>
      <c r="U19" s="3">
        <f>IF(IFERROR('j309-3'!Q16,0)=0,0,1)</f>
        <v>0</v>
      </c>
      <c r="V19" s="3">
        <f>IF(IFERROR('j309-3'!R16,0)=0,0,1)</f>
        <v>0</v>
      </c>
      <c r="W19" s="3">
        <f>IF(IFERROR('j309-3'!S16,0)=0,0,1)</f>
        <v>0</v>
      </c>
      <c r="X19" s="3">
        <f>IF(IFERROR('j309-3'!T16,0)=0,0,1)</f>
        <v>0</v>
      </c>
      <c r="Y19" s="3">
        <f>IF(IFERROR('j309-3'!U16,0)=0,0,1)</f>
        <v>0</v>
      </c>
      <c r="Z19" s="3">
        <f>IF(IFERROR('j309-3'!V16,0)=0,0,1)</f>
        <v>0</v>
      </c>
      <c r="AA19" s="3">
        <f>IF(IFERROR('j309-3'!W16,0)=0,0,1)</f>
        <v>0</v>
      </c>
      <c r="AB19" s="3">
        <f>IF(IFERROR('j309-3'!X16,0)=0,0,1)</f>
        <v>0</v>
      </c>
      <c r="AC19" s="3">
        <f>IF(IFERROR('j309-3'!Y16,0)=0,0,1)</f>
        <v>0</v>
      </c>
      <c r="AD19" s="3">
        <f>IF(IFERROR('j309-3'!Z16,0)=0,0,1)</f>
        <v>0</v>
      </c>
      <c r="AE19" s="3">
        <f>IF(IFERROR('j309-3'!AA16,0)=0,0,1)</f>
        <v>0</v>
      </c>
      <c r="AF19" s="3">
        <f>IF(IFERROR('j309-3'!AB16,0)=0,0,1)</f>
        <v>0</v>
      </c>
      <c r="AG19" s="3">
        <f>IF(IFERROR('j309-3'!AC16,0)=0,0,1)</f>
        <v>1</v>
      </c>
      <c r="AH19" s="3">
        <f>IF(IFERROR('j309-3'!AD16,0)=0,0,1)</f>
        <v>0</v>
      </c>
      <c r="AI19" s="3">
        <f>IF(IFERROR('j309-3'!AE16,0)=0,0,1)</f>
        <v>0</v>
      </c>
      <c r="AJ19" s="3">
        <f>IF(IFERROR('j309-3'!AF16,0)=0,0,1)</f>
        <v>0</v>
      </c>
      <c r="AK19" s="3">
        <f>IF(IFERROR('j309-3'!AG16,0)=0,0,1)</f>
        <v>0</v>
      </c>
      <c r="AL19" s="3">
        <f>IF(IFERROR('j309-3'!AH16,0)=0,0,1)</f>
        <v>0</v>
      </c>
      <c r="AM19" s="3">
        <f>IF(IFERROR('j309-3'!AI16,0)=0,0,1)</f>
        <v>0</v>
      </c>
      <c r="AN19" s="3">
        <f>IF(IFERROR('j309-3'!AJ16,0)=0,0,1)</f>
        <v>0</v>
      </c>
      <c r="AO19" s="3">
        <f>IF(IFERROR('j309-3'!AK16,0)=0,0,1)</f>
        <v>0</v>
      </c>
      <c r="AP19" s="3">
        <f>IF(IFERROR('j309-3'!AL16,0)=0,0,1)</f>
        <v>0</v>
      </c>
      <c r="AQ19" s="3">
        <f>IF(IFERROR('j309-3'!AM16,0)=0,0,1)</f>
        <v>0</v>
      </c>
      <c r="AR19" s="3">
        <f>IF(IFERROR('j309-3'!AN16,0)=0,0,1)</f>
        <v>0</v>
      </c>
      <c r="AS19" s="3">
        <f>IF(IFERROR('j309-3'!AO16,0)=0,0,1)</f>
        <v>0</v>
      </c>
      <c r="AT19" s="3">
        <f>IF(IFERROR('j309-3'!AP16,0)=0,0,1)</f>
        <v>0</v>
      </c>
    </row>
    <row r="20" spans="1:46" ht="42" customHeight="1" x14ac:dyDescent="0.3">
      <c r="A20" s="4" t="s">
        <v>23</v>
      </c>
      <c r="B20" s="3">
        <v>16</v>
      </c>
      <c r="C20" s="8">
        <v>5</v>
      </c>
      <c r="D20" s="3">
        <v>6</v>
      </c>
      <c r="E20" s="3">
        <v>0</v>
      </c>
      <c r="F20" s="3">
        <v>5</v>
      </c>
      <c r="G20" s="3">
        <v>0</v>
      </c>
      <c r="N20" s="7">
        <v>16</v>
      </c>
      <c r="O20" s="3">
        <f>IF(IFERROR('j309-3'!K17,0)=0,0,1)</f>
        <v>0</v>
      </c>
      <c r="P20" s="3">
        <f>IF(IFERROR('j309-3'!L17,0)=0,0,1)</f>
        <v>0</v>
      </c>
      <c r="Q20" s="3">
        <f>IF(IFERROR('j309-3'!M17,0)=0,0,1)</f>
        <v>0</v>
      </c>
      <c r="R20" s="3">
        <f>IF(IFERROR('j309-3'!N17,0)=0,0,1)</f>
        <v>0</v>
      </c>
      <c r="S20" s="3">
        <f>IF(IFERROR('j309-3'!O17,0)=0,0,1)</f>
        <v>0</v>
      </c>
      <c r="T20" s="3">
        <f>IF(IFERROR('j309-3'!P17,0)=0,0,1)</f>
        <v>0</v>
      </c>
      <c r="U20" s="3">
        <f>IF(IFERROR('j309-3'!Q17,0)=0,0,1)</f>
        <v>0</v>
      </c>
      <c r="V20" s="3">
        <f>IF(IFERROR('j309-3'!R17,0)=0,0,1)</f>
        <v>0</v>
      </c>
      <c r="W20" s="3">
        <f>IF(IFERROR('j309-3'!S17,0)=0,0,1)</f>
        <v>0</v>
      </c>
      <c r="X20" s="3">
        <f>IF(IFERROR('j309-3'!T17,0)=0,0,1)</f>
        <v>0</v>
      </c>
      <c r="Y20" s="3">
        <f>IF(IFERROR('j309-3'!U17,0)=0,0,1)</f>
        <v>0</v>
      </c>
      <c r="Z20" s="3">
        <f>IF(IFERROR('j309-3'!V17,0)=0,0,1)</f>
        <v>0</v>
      </c>
      <c r="AA20" s="3">
        <f>IF(IFERROR('j309-3'!W17,0)=0,0,1)</f>
        <v>0</v>
      </c>
      <c r="AB20" s="3">
        <f>IF(IFERROR('j309-3'!X17,0)=0,0,1)</f>
        <v>0</v>
      </c>
      <c r="AC20" s="3">
        <f>IF(IFERROR('j309-3'!Y17,0)=0,0,1)</f>
        <v>0</v>
      </c>
      <c r="AD20" s="3">
        <f>IF(IFERROR('j309-3'!Z17,0)=0,0,1)</f>
        <v>0</v>
      </c>
      <c r="AE20" s="3">
        <f>IF(IFERROR('j309-3'!AA17,0)=0,0,1)</f>
        <v>0</v>
      </c>
      <c r="AF20" s="3">
        <f>IF(IFERROR('j309-3'!AB17,0)=0,0,1)</f>
        <v>0</v>
      </c>
      <c r="AG20" s="3">
        <f>IF(IFERROR('j309-3'!AC17,0)=0,0,1)</f>
        <v>0</v>
      </c>
      <c r="AH20" s="3">
        <f>IF(IFERROR('j309-3'!AD17,0)=0,0,1)</f>
        <v>1</v>
      </c>
      <c r="AI20" s="3">
        <f>IF(IFERROR('j309-3'!AE17,0)=0,0,1)</f>
        <v>0</v>
      </c>
      <c r="AJ20" s="3">
        <f>IF(IFERROR('j309-3'!AF17,0)=0,0,1)</f>
        <v>0</v>
      </c>
      <c r="AK20" s="3">
        <f>IF(IFERROR('j309-3'!AG17,0)=0,0,1)</f>
        <v>0</v>
      </c>
      <c r="AL20" s="3">
        <f>IF(IFERROR('j309-3'!AH17,0)=0,0,1)</f>
        <v>0</v>
      </c>
      <c r="AM20" s="3">
        <f>IF(IFERROR('j309-3'!AI17,0)=0,0,1)</f>
        <v>0</v>
      </c>
      <c r="AN20" s="3">
        <f>IF(IFERROR('j309-3'!AJ17,0)=0,0,1)</f>
        <v>0</v>
      </c>
      <c r="AO20" s="3">
        <f>IF(IFERROR('j309-3'!AK17,0)=0,0,1)</f>
        <v>0</v>
      </c>
      <c r="AP20" s="3">
        <f>IF(IFERROR('j309-3'!AL17,0)=0,0,1)</f>
        <v>0</v>
      </c>
      <c r="AQ20" s="3">
        <f>IF(IFERROR('j309-3'!AM17,0)=0,0,1)</f>
        <v>0</v>
      </c>
      <c r="AR20" s="3">
        <f>IF(IFERROR('j309-3'!AN17,0)=0,0,1)</f>
        <v>0</v>
      </c>
      <c r="AS20" s="3">
        <f>IF(IFERROR('j309-3'!AO17,0)=0,0,1)</f>
        <v>0</v>
      </c>
      <c r="AT20" s="3">
        <f>IF(IFERROR('j309-3'!AP17,0)=0,0,1)</f>
        <v>0</v>
      </c>
    </row>
    <row r="21" spans="1:46" ht="42" customHeight="1" x14ac:dyDescent="0.3">
      <c r="A21" s="8">
        <v>48</v>
      </c>
      <c r="B21" s="3">
        <v>17</v>
      </c>
      <c r="C21" s="8">
        <v>2</v>
      </c>
      <c r="D21" s="3">
        <v>9</v>
      </c>
      <c r="E21" s="3">
        <v>0</v>
      </c>
      <c r="F21" s="3">
        <v>8</v>
      </c>
      <c r="G21" s="3">
        <v>0</v>
      </c>
      <c r="N21" s="7">
        <v>17</v>
      </c>
      <c r="O21" s="3">
        <f>IF(IFERROR('j309-3'!K18,0)=0,0,1)</f>
        <v>0</v>
      </c>
      <c r="P21" s="3">
        <f>IF(IFERROR('j309-3'!L18,0)=0,0,1)</f>
        <v>0</v>
      </c>
      <c r="Q21" s="3">
        <f>IF(IFERROR('j309-3'!M18,0)=0,0,1)</f>
        <v>0</v>
      </c>
      <c r="R21" s="3">
        <f>IF(IFERROR('j309-3'!N18,0)=0,0,1)</f>
        <v>0</v>
      </c>
      <c r="S21" s="3">
        <f>IF(IFERROR('j309-3'!O18,0)=0,0,1)</f>
        <v>0</v>
      </c>
      <c r="T21" s="3">
        <f>IF(IFERROR('j309-3'!P18,0)=0,0,1)</f>
        <v>0</v>
      </c>
      <c r="U21" s="3">
        <f>IF(IFERROR('j309-3'!Q18,0)=0,0,1)</f>
        <v>0</v>
      </c>
      <c r="V21" s="3">
        <f>IF(IFERROR('j309-3'!R18,0)=0,0,1)</f>
        <v>0</v>
      </c>
      <c r="W21" s="3">
        <f>IF(IFERROR('j309-3'!S18,0)=0,0,1)</f>
        <v>0</v>
      </c>
      <c r="X21" s="3">
        <f>IF(IFERROR('j309-3'!T18,0)=0,0,1)</f>
        <v>0</v>
      </c>
      <c r="Y21" s="3">
        <f>IF(IFERROR('j309-3'!U18,0)=0,0,1)</f>
        <v>0</v>
      </c>
      <c r="Z21" s="3">
        <f>IF(IFERROR('j309-3'!V18,0)=0,0,1)</f>
        <v>0</v>
      </c>
      <c r="AA21" s="3">
        <f>IF(IFERROR('j309-3'!W18,0)=0,0,1)</f>
        <v>0</v>
      </c>
      <c r="AB21" s="3">
        <f>IF(IFERROR('j309-3'!X18,0)=0,0,1)</f>
        <v>0</v>
      </c>
      <c r="AC21" s="3">
        <f>IF(IFERROR('j309-3'!Y18,0)=0,0,1)</f>
        <v>0</v>
      </c>
      <c r="AD21" s="3">
        <f>IF(IFERROR('j309-3'!Z18,0)=0,0,1)</f>
        <v>0</v>
      </c>
      <c r="AE21" s="3">
        <f>IF(IFERROR('j309-3'!AA18,0)=0,0,1)</f>
        <v>0</v>
      </c>
      <c r="AF21" s="3">
        <f>IF(IFERROR('j309-3'!AB18,0)=0,0,1)</f>
        <v>1</v>
      </c>
      <c r="AG21" s="3">
        <f>IF(IFERROR('j309-3'!AC18,0)=0,0,1)</f>
        <v>0</v>
      </c>
      <c r="AH21" s="3">
        <f>IF(IFERROR('j309-3'!AD18,0)=0,0,1)</f>
        <v>0</v>
      </c>
      <c r="AI21" s="3">
        <f>IF(IFERROR('j309-3'!AE18,0)=0,0,1)</f>
        <v>0</v>
      </c>
      <c r="AJ21" s="3">
        <f>IF(IFERROR('j309-3'!AF18,0)=0,0,1)</f>
        <v>0</v>
      </c>
      <c r="AK21" s="3">
        <f>IF(IFERROR('j309-3'!AG18,0)=0,0,1)</f>
        <v>0</v>
      </c>
      <c r="AL21" s="3">
        <f>IF(IFERROR('j309-3'!AH18,0)=0,0,1)</f>
        <v>0</v>
      </c>
      <c r="AM21" s="3">
        <f>IF(IFERROR('j309-3'!AI18,0)=0,0,1)</f>
        <v>0</v>
      </c>
      <c r="AN21" s="3">
        <f>IF(IFERROR('j309-3'!AJ18,0)=0,0,1)</f>
        <v>0</v>
      </c>
      <c r="AO21" s="3">
        <f>IF(IFERROR('j309-3'!AK18,0)=0,0,1)</f>
        <v>0</v>
      </c>
      <c r="AP21" s="3">
        <f>IF(IFERROR('j309-3'!AL18,0)=0,0,1)</f>
        <v>0</v>
      </c>
      <c r="AQ21" s="3">
        <f>IF(IFERROR('j309-3'!AM18,0)=0,0,1)</f>
        <v>0</v>
      </c>
      <c r="AR21" s="3">
        <f>IF(IFERROR('j309-3'!AN18,0)=0,0,1)</f>
        <v>0</v>
      </c>
      <c r="AS21" s="3">
        <f>IF(IFERROR('j309-3'!AO18,0)=0,0,1)</f>
        <v>0</v>
      </c>
      <c r="AT21" s="3">
        <f>IF(IFERROR('j309-3'!AP18,0)=0,0,1)</f>
        <v>0</v>
      </c>
    </row>
    <row r="22" spans="1:46" ht="42" customHeight="1" x14ac:dyDescent="0.3">
      <c r="B22" s="3">
        <v>18</v>
      </c>
      <c r="C22" s="8">
        <v>2</v>
      </c>
      <c r="D22" s="3">
        <v>1</v>
      </c>
      <c r="E22" s="3">
        <v>10</v>
      </c>
      <c r="F22" s="3">
        <v>4</v>
      </c>
      <c r="G22" s="3">
        <v>9</v>
      </c>
      <c r="N22" s="7">
        <v>18</v>
      </c>
      <c r="O22" s="3">
        <f>IF(IFERROR('j309-3'!K19,0)=0,0,1)</f>
        <v>0</v>
      </c>
      <c r="P22" s="3">
        <f>IF(IFERROR('j309-3'!L19,0)=0,0,1)</f>
        <v>0</v>
      </c>
      <c r="Q22" s="3">
        <f>IF(IFERROR('j309-3'!M19,0)=0,0,1)</f>
        <v>0</v>
      </c>
      <c r="R22" s="3">
        <f>IF(IFERROR('j309-3'!N19,0)=0,0,1)</f>
        <v>0</v>
      </c>
      <c r="S22" s="3">
        <f>IF(IFERROR('j309-3'!O19,0)=0,0,1)</f>
        <v>0</v>
      </c>
      <c r="T22" s="3">
        <f>IF(IFERROR('j309-3'!P19,0)=0,0,1)</f>
        <v>0</v>
      </c>
      <c r="U22" s="3">
        <f>IF(IFERROR('j309-3'!Q19,0)=0,0,1)</f>
        <v>0</v>
      </c>
      <c r="V22" s="3">
        <f>IF(IFERROR('j309-3'!R19,0)=0,0,1)</f>
        <v>0</v>
      </c>
      <c r="W22" s="3">
        <f>IF(IFERROR('j309-3'!S19,0)=0,0,1)</f>
        <v>0</v>
      </c>
      <c r="X22" s="3">
        <f>IF(IFERROR('j309-3'!T19,0)=0,0,1)</f>
        <v>0</v>
      </c>
      <c r="Y22" s="3">
        <f>IF(IFERROR('j309-3'!U19,0)=0,0,1)</f>
        <v>0</v>
      </c>
      <c r="Z22" s="3">
        <f>IF(IFERROR('j309-3'!V19,0)=0,0,1)</f>
        <v>0</v>
      </c>
      <c r="AA22" s="3">
        <f>IF(IFERROR('j309-3'!W19,0)=0,0,1)</f>
        <v>0</v>
      </c>
      <c r="AB22" s="3">
        <f>IF(IFERROR('j309-3'!X19,0)=0,0,1)</f>
        <v>0</v>
      </c>
      <c r="AC22" s="3">
        <f>IF(IFERROR('j309-3'!Y19,0)=0,0,1)</f>
        <v>0</v>
      </c>
      <c r="AD22" s="3">
        <f>IF(IFERROR('j309-3'!Z19,0)=0,0,1)</f>
        <v>0</v>
      </c>
      <c r="AE22" s="3">
        <f>IF(IFERROR('j309-3'!AA19,0)=0,0,1)</f>
        <v>0</v>
      </c>
      <c r="AF22" s="3">
        <f>IF(IFERROR('j309-3'!AB19,0)=0,0,1)</f>
        <v>0</v>
      </c>
      <c r="AG22" s="3">
        <f>IF(IFERROR('j309-3'!AC19,0)=0,0,1)</f>
        <v>0</v>
      </c>
      <c r="AH22" s="3">
        <f>IF(IFERROR('j309-3'!AD19,0)=0,0,1)</f>
        <v>0</v>
      </c>
      <c r="AI22" s="3">
        <f>IF(IFERROR('j309-3'!AE19,0)=0,0,1)</f>
        <v>0</v>
      </c>
      <c r="AJ22" s="3">
        <f>IF(IFERROR('j309-3'!AF19,0)=0,0,1)</f>
        <v>0</v>
      </c>
      <c r="AK22" s="3">
        <f>IF(IFERROR('j309-3'!AG19,0)=0,0,1)</f>
        <v>0</v>
      </c>
      <c r="AL22" s="3">
        <f>IF(IFERROR('j309-3'!AH19,0)=0,0,1)</f>
        <v>0</v>
      </c>
      <c r="AM22" s="3">
        <f>IF(IFERROR('j309-3'!AI19,0)=0,0,1)</f>
        <v>0</v>
      </c>
      <c r="AN22" s="3">
        <f>IF(IFERROR('j309-3'!AJ19,0)=0,0,1)</f>
        <v>0</v>
      </c>
      <c r="AO22" s="3">
        <f>IF(IFERROR('j309-3'!AK19,0)=0,0,1)</f>
        <v>0</v>
      </c>
      <c r="AP22" s="3">
        <f>IF(IFERROR('j309-3'!AL19,0)=0,0,1)</f>
        <v>0</v>
      </c>
      <c r="AQ22" s="3">
        <f>IF(IFERROR('j309-3'!AM19,0)=0,0,1)</f>
        <v>0</v>
      </c>
      <c r="AR22" s="3">
        <f>IF(IFERROR('j309-3'!AN19,0)=0,0,1)</f>
        <v>0</v>
      </c>
      <c r="AS22" s="3">
        <f>IF(IFERROR('j309-3'!AO19,0)=0,0,1)</f>
        <v>1</v>
      </c>
      <c r="AT22" s="3">
        <f>IF(IFERROR('j309-3'!AP19,0)=0,0,1)</f>
        <v>0</v>
      </c>
    </row>
    <row r="23" spans="1:46" ht="42" customHeight="1" x14ac:dyDescent="0.3">
      <c r="B23" s="3">
        <v>19</v>
      </c>
      <c r="C23" s="8">
        <v>3</v>
      </c>
      <c r="D23" s="3">
        <v>7</v>
      </c>
      <c r="E23" s="3">
        <v>5</v>
      </c>
      <c r="F23" s="3">
        <v>3</v>
      </c>
      <c r="G23" s="3">
        <v>0</v>
      </c>
      <c r="N23" s="7">
        <v>19</v>
      </c>
      <c r="O23" s="3">
        <f>IF(IFERROR('j309-3'!K20,0)=0,0,1)</f>
        <v>0</v>
      </c>
      <c r="P23" s="3">
        <f>IF(IFERROR('j309-3'!L20,0)=0,0,1)</f>
        <v>0</v>
      </c>
      <c r="Q23" s="3">
        <f>IF(IFERROR('j309-3'!M20,0)=0,0,1)</f>
        <v>0</v>
      </c>
      <c r="R23" s="3">
        <f>IF(IFERROR('j309-3'!N20,0)=0,0,1)</f>
        <v>0</v>
      </c>
      <c r="S23" s="3">
        <f>IF(IFERROR('j309-3'!O20,0)=0,0,1)</f>
        <v>0</v>
      </c>
      <c r="T23" s="3">
        <f>IF(IFERROR('j309-3'!P20,0)=0,0,1)</f>
        <v>0</v>
      </c>
      <c r="U23" s="3">
        <f>IF(IFERROR('j309-3'!Q20,0)=0,0,1)</f>
        <v>0</v>
      </c>
      <c r="V23" s="3">
        <f>IF(IFERROR('j309-3'!R20,0)=0,0,1)</f>
        <v>0</v>
      </c>
      <c r="W23" s="3">
        <f>IF(IFERROR('j309-3'!S20,0)=0,0,1)</f>
        <v>0</v>
      </c>
      <c r="X23" s="3">
        <f>IF(IFERROR('j309-3'!T20,0)=0,0,1)</f>
        <v>0</v>
      </c>
      <c r="Y23" s="3">
        <f>IF(IFERROR('j309-3'!U20,0)=0,0,1)</f>
        <v>0</v>
      </c>
      <c r="Z23" s="3">
        <f>IF(IFERROR('j309-3'!V20,0)=0,0,1)</f>
        <v>0</v>
      </c>
      <c r="AA23" s="3">
        <f>IF(IFERROR('j309-3'!W20,0)=0,0,1)</f>
        <v>0</v>
      </c>
      <c r="AB23" s="3">
        <f>IF(IFERROR('j309-3'!X20,0)=0,0,1)</f>
        <v>0</v>
      </c>
      <c r="AC23" s="3">
        <f>IF(IFERROR('j309-3'!Y20,0)=0,0,1)</f>
        <v>0</v>
      </c>
      <c r="AD23" s="3">
        <f>IF(IFERROR('j309-3'!Z20,0)=0,0,1)</f>
        <v>0</v>
      </c>
      <c r="AE23" s="3">
        <f>IF(IFERROR('j309-3'!AA20,0)=0,0,1)</f>
        <v>0</v>
      </c>
      <c r="AF23" s="3">
        <f>IF(IFERROR('j309-3'!AB20,0)=0,0,1)</f>
        <v>0</v>
      </c>
      <c r="AG23" s="3">
        <f>IF(IFERROR('j309-3'!AC20,0)=0,0,1)</f>
        <v>0</v>
      </c>
      <c r="AH23" s="3">
        <f>IF(IFERROR('j309-3'!AD20,0)=0,0,1)</f>
        <v>0</v>
      </c>
      <c r="AI23" s="3">
        <f>IF(IFERROR('j309-3'!AE20,0)=0,0,1)</f>
        <v>0</v>
      </c>
      <c r="AJ23" s="3">
        <f>IF(IFERROR('j309-3'!AF20,0)=0,0,1)</f>
        <v>1</v>
      </c>
      <c r="AK23" s="3">
        <f>IF(IFERROR('j309-3'!AG20,0)=0,0,1)</f>
        <v>0</v>
      </c>
      <c r="AL23" s="3">
        <f>IF(IFERROR('j309-3'!AH20,0)=0,0,1)</f>
        <v>0</v>
      </c>
      <c r="AM23" s="3">
        <f>IF(IFERROR('j309-3'!AI20,0)=0,0,1)</f>
        <v>0</v>
      </c>
      <c r="AN23" s="3">
        <f>IF(IFERROR('j309-3'!AJ20,0)=0,0,1)</f>
        <v>0</v>
      </c>
      <c r="AO23" s="3">
        <f>IF(IFERROR('j309-3'!AK20,0)=0,0,1)</f>
        <v>0</v>
      </c>
      <c r="AP23" s="3">
        <f>IF(IFERROR('j309-3'!AL20,0)=0,0,1)</f>
        <v>0</v>
      </c>
      <c r="AQ23" s="3">
        <f>IF(IFERROR('j309-3'!AM20,0)=0,0,1)</f>
        <v>0</v>
      </c>
      <c r="AR23" s="3">
        <f>IF(IFERROR('j309-3'!AN20,0)=0,0,1)</f>
        <v>0</v>
      </c>
      <c r="AS23" s="3">
        <f>IF(IFERROR('j309-3'!AO20,0)=0,0,1)</f>
        <v>0</v>
      </c>
      <c r="AT23" s="3">
        <f>IF(IFERROR('j309-3'!AP20,0)=0,0,1)</f>
        <v>0</v>
      </c>
    </row>
    <row r="24" spans="1:46" ht="42" customHeight="1" x14ac:dyDescent="0.3">
      <c r="B24" s="3">
        <v>20</v>
      </c>
      <c r="C24" s="8">
        <v>3</v>
      </c>
      <c r="D24" s="3">
        <v>7</v>
      </c>
      <c r="E24" s="3">
        <v>6</v>
      </c>
      <c r="F24" s="3">
        <v>4</v>
      </c>
      <c r="G24" s="3">
        <v>9</v>
      </c>
      <c r="N24" s="7">
        <v>20</v>
      </c>
      <c r="O24" s="3">
        <f>IF(IFERROR('j309-3'!K21,0)=0,0,1)</f>
        <v>0</v>
      </c>
      <c r="P24" s="3">
        <f>IF(IFERROR('j309-3'!L21,0)=0,0,1)</f>
        <v>0</v>
      </c>
      <c r="Q24" s="3">
        <f>IF(IFERROR('j309-3'!M21,0)=0,0,1)</f>
        <v>0</v>
      </c>
      <c r="R24" s="3">
        <f>IF(IFERROR('j309-3'!N21,0)=0,0,1)</f>
        <v>0</v>
      </c>
      <c r="S24" s="3">
        <f>IF(IFERROR('j309-3'!O21,0)=0,0,1)</f>
        <v>0</v>
      </c>
      <c r="T24" s="3">
        <f>IF(IFERROR('j309-3'!P21,0)=0,0,1)</f>
        <v>0</v>
      </c>
      <c r="U24" s="3">
        <f>IF(IFERROR('j309-3'!Q21,0)=0,0,1)</f>
        <v>0</v>
      </c>
      <c r="V24" s="3">
        <f>IF(IFERROR('j309-3'!R21,0)=0,0,1)</f>
        <v>0</v>
      </c>
      <c r="W24" s="3">
        <f>IF(IFERROR('j309-3'!S21,0)=0,0,1)</f>
        <v>0</v>
      </c>
      <c r="X24" s="3">
        <f>IF(IFERROR('j309-3'!T21,0)=0,0,1)</f>
        <v>0</v>
      </c>
      <c r="Y24" s="3">
        <f>IF(IFERROR('j309-3'!U21,0)=0,0,1)</f>
        <v>0</v>
      </c>
      <c r="Z24" s="3">
        <f>IF(IFERROR('j309-3'!V21,0)=0,0,1)</f>
        <v>0</v>
      </c>
      <c r="AA24" s="3">
        <f>IF(IFERROR('j309-3'!W21,0)=0,0,1)</f>
        <v>0</v>
      </c>
      <c r="AB24" s="3">
        <f>IF(IFERROR('j309-3'!X21,0)=0,0,1)</f>
        <v>0</v>
      </c>
      <c r="AC24" s="3">
        <f>IF(IFERROR('j309-3'!Y21,0)=0,0,1)</f>
        <v>0</v>
      </c>
      <c r="AD24" s="3">
        <f>IF(IFERROR('j309-3'!Z21,0)=0,0,1)</f>
        <v>0</v>
      </c>
      <c r="AE24" s="3">
        <f>IF(IFERROR('j309-3'!AA21,0)=0,0,1)</f>
        <v>0</v>
      </c>
      <c r="AF24" s="3">
        <f>IF(IFERROR('j309-3'!AB21,0)=0,0,1)</f>
        <v>0</v>
      </c>
      <c r="AG24" s="3">
        <f>IF(IFERROR('j309-3'!AC21,0)=0,0,1)</f>
        <v>0</v>
      </c>
      <c r="AH24" s="3">
        <f>IF(IFERROR('j309-3'!AD21,0)=0,0,1)</f>
        <v>0</v>
      </c>
      <c r="AI24" s="3">
        <f>IF(IFERROR('j309-3'!AE21,0)=0,0,1)</f>
        <v>0</v>
      </c>
      <c r="AJ24" s="3">
        <f>IF(IFERROR('j309-3'!AF21,0)=0,0,1)</f>
        <v>0</v>
      </c>
      <c r="AK24" s="3">
        <f>IF(IFERROR('j309-3'!AG21,0)=0,0,1)</f>
        <v>1</v>
      </c>
      <c r="AL24" s="3">
        <f>IF(IFERROR('j309-3'!AH21,0)=0,0,1)</f>
        <v>0</v>
      </c>
      <c r="AM24" s="3">
        <f>IF(IFERROR('j309-3'!AI21,0)=0,0,1)</f>
        <v>0</v>
      </c>
      <c r="AN24" s="3">
        <f>IF(IFERROR('j309-3'!AJ21,0)=0,0,1)</f>
        <v>0</v>
      </c>
      <c r="AO24" s="3">
        <f>IF(IFERROR('j309-3'!AK21,0)=0,0,1)</f>
        <v>0</v>
      </c>
      <c r="AP24" s="3">
        <f>IF(IFERROR('j309-3'!AL21,0)=0,0,1)</f>
        <v>0</v>
      </c>
      <c r="AQ24" s="3">
        <f>IF(IFERROR('j309-3'!AM21,0)=0,0,1)</f>
        <v>0</v>
      </c>
      <c r="AR24" s="3">
        <f>IF(IFERROR('j309-3'!AN21,0)=0,0,1)</f>
        <v>0</v>
      </c>
      <c r="AS24" s="3">
        <f>IF(IFERROR('j309-3'!AO21,0)=0,0,1)</f>
        <v>0</v>
      </c>
      <c r="AT24" s="3">
        <f>IF(IFERROR('j309-3'!AP21,0)=0,0,1)</f>
        <v>0</v>
      </c>
    </row>
    <row r="25" spans="1:46" ht="42" customHeight="1" x14ac:dyDescent="0.3">
      <c r="B25" s="3">
        <v>21</v>
      </c>
      <c r="C25" s="8">
        <v>5</v>
      </c>
      <c r="D25" s="3">
        <v>4</v>
      </c>
      <c r="E25" s="3">
        <v>8</v>
      </c>
      <c r="F25" s="3">
        <v>9</v>
      </c>
      <c r="G25" s="3">
        <v>0</v>
      </c>
      <c r="N25" s="7">
        <v>21</v>
      </c>
      <c r="O25" s="3">
        <f>IF(IFERROR('j309-3'!K22,0)=0,0,1)</f>
        <v>0</v>
      </c>
      <c r="P25" s="3">
        <f>IF(IFERROR('j309-3'!L22,0)=0,0,1)</f>
        <v>0</v>
      </c>
      <c r="Q25" s="3">
        <f>IF(IFERROR('j309-3'!M22,0)=0,0,1)</f>
        <v>0</v>
      </c>
      <c r="R25" s="3">
        <f>IF(IFERROR('j309-3'!N22,0)=0,0,1)</f>
        <v>0</v>
      </c>
      <c r="S25" s="3">
        <f>IF(IFERROR('j309-3'!O22,0)=0,0,1)</f>
        <v>0</v>
      </c>
      <c r="T25" s="3">
        <f>IF(IFERROR('j309-3'!P22,0)=0,0,1)</f>
        <v>0</v>
      </c>
      <c r="U25" s="3">
        <f>IF(IFERROR('j309-3'!Q22,0)=0,0,1)</f>
        <v>0</v>
      </c>
      <c r="V25" s="3">
        <f>IF(IFERROR('j309-3'!R22,0)=0,0,1)</f>
        <v>0</v>
      </c>
      <c r="W25" s="3">
        <f>IF(IFERROR('j309-3'!S22,0)=0,0,1)</f>
        <v>0</v>
      </c>
      <c r="X25" s="3">
        <f>IF(IFERROR('j309-3'!T22,0)=0,0,1)</f>
        <v>0</v>
      </c>
      <c r="Y25" s="3">
        <f>IF(IFERROR('j309-3'!U22,0)=0,0,1)</f>
        <v>0</v>
      </c>
      <c r="Z25" s="3">
        <f>IF(IFERROR('j309-3'!V22,0)=0,0,1)</f>
        <v>0</v>
      </c>
      <c r="AA25" s="3">
        <f>IF(IFERROR('j309-3'!W22,0)=0,0,1)</f>
        <v>0</v>
      </c>
      <c r="AB25" s="3">
        <f>IF(IFERROR('j309-3'!X22,0)=0,0,1)</f>
        <v>0</v>
      </c>
      <c r="AC25" s="3">
        <f>IF(IFERROR('j309-3'!Y22,0)=0,0,1)</f>
        <v>0</v>
      </c>
      <c r="AD25" s="3">
        <f>IF(IFERROR('j309-3'!Z22,0)=0,0,1)</f>
        <v>0</v>
      </c>
      <c r="AE25" s="3">
        <f>IF(IFERROR('j309-3'!AA22,0)=0,0,1)</f>
        <v>0</v>
      </c>
      <c r="AF25" s="3">
        <f>IF(IFERROR('j309-3'!AB22,0)=0,0,1)</f>
        <v>0</v>
      </c>
      <c r="AG25" s="3">
        <f>IF(IFERROR('j309-3'!AC22,0)=0,0,1)</f>
        <v>0</v>
      </c>
      <c r="AH25" s="3">
        <f>IF(IFERROR('j309-3'!AD22,0)=0,0,1)</f>
        <v>0</v>
      </c>
      <c r="AI25" s="3">
        <f>IF(IFERROR('j309-3'!AE22,0)=0,0,1)</f>
        <v>0</v>
      </c>
      <c r="AJ25" s="3">
        <f>IF(IFERROR('j309-3'!AF22,0)=0,0,1)</f>
        <v>0</v>
      </c>
      <c r="AK25" s="3">
        <f>IF(IFERROR('j309-3'!AG22,0)=0,0,1)</f>
        <v>0</v>
      </c>
      <c r="AL25" s="3">
        <f>IF(IFERROR('j309-3'!AH22,0)=0,0,1)</f>
        <v>0</v>
      </c>
      <c r="AM25" s="3">
        <f>IF(IFERROR('j309-3'!AI22,0)=0,0,1)</f>
        <v>0</v>
      </c>
      <c r="AN25" s="3">
        <f>IF(IFERROR('j309-3'!AJ22,0)=0,0,1)</f>
        <v>1</v>
      </c>
      <c r="AO25" s="3">
        <f>IF(IFERROR('j309-3'!AK22,0)=0,0,1)</f>
        <v>0</v>
      </c>
      <c r="AP25" s="3">
        <f>IF(IFERROR('j309-3'!AL22,0)=0,0,1)</f>
        <v>0</v>
      </c>
      <c r="AQ25" s="3">
        <f>IF(IFERROR('j309-3'!AM22,0)=0,0,1)</f>
        <v>0</v>
      </c>
      <c r="AR25" s="3">
        <f>IF(IFERROR('j309-3'!AN22,0)=0,0,1)</f>
        <v>0</v>
      </c>
      <c r="AS25" s="3">
        <f>IF(IFERROR('j309-3'!AO22,0)=0,0,1)</f>
        <v>0</v>
      </c>
      <c r="AT25" s="3">
        <f>IF(IFERROR('j309-3'!AP22,0)=0,0,1)</f>
        <v>0</v>
      </c>
    </row>
    <row r="26" spans="1:46" ht="42" customHeight="1" x14ac:dyDescent="0.3">
      <c r="B26" s="3">
        <v>22</v>
      </c>
      <c r="C26" s="8">
        <v>2</v>
      </c>
      <c r="D26" s="3">
        <v>4</v>
      </c>
      <c r="E26" s="3">
        <v>7</v>
      </c>
      <c r="F26" s="3">
        <v>9</v>
      </c>
      <c r="G26" s="3">
        <v>8</v>
      </c>
      <c r="N26" s="7">
        <v>22</v>
      </c>
      <c r="O26" s="3">
        <f>IF(IFERROR('j309-3'!K23,0)=0,0,1)</f>
        <v>0</v>
      </c>
      <c r="P26" s="3">
        <f>IF(IFERROR('j309-3'!L23,0)=0,0,1)</f>
        <v>0</v>
      </c>
      <c r="Q26" s="3">
        <f>IF(IFERROR('j309-3'!M23,0)=0,0,1)</f>
        <v>0</v>
      </c>
      <c r="R26" s="3">
        <f>IF(IFERROR('j309-3'!N23,0)=0,0,1)</f>
        <v>0</v>
      </c>
      <c r="S26" s="3">
        <f>IF(IFERROR('j309-3'!O23,0)=0,0,1)</f>
        <v>0</v>
      </c>
      <c r="T26" s="3">
        <f>IF(IFERROR('j309-3'!P23,0)=0,0,1)</f>
        <v>0</v>
      </c>
      <c r="U26" s="3">
        <f>IF(IFERROR('j309-3'!Q23,0)=0,0,1)</f>
        <v>0</v>
      </c>
      <c r="V26" s="3">
        <f>IF(IFERROR('j309-3'!R23,0)=0,0,1)</f>
        <v>0</v>
      </c>
      <c r="W26" s="3">
        <f>IF(IFERROR('j309-3'!S23,0)=0,0,1)</f>
        <v>0</v>
      </c>
      <c r="X26" s="3">
        <f>IF(IFERROR('j309-3'!T23,0)=0,0,1)</f>
        <v>0</v>
      </c>
      <c r="Y26" s="3">
        <f>IF(IFERROR('j309-3'!U23,0)=0,0,1)</f>
        <v>0</v>
      </c>
      <c r="Z26" s="3">
        <f>IF(IFERROR('j309-3'!V23,0)=0,0,1)</f>
        <v>0</v>
      </c>
      <c r="AA26" s="3">
        <f>IF(IFERROR('j309-3'!W23,0)=0,0,1)</f>
        <v>0</v>
      </c>
      <c r="AB26" s="3">
        <f>IF(IFERROR('j309-3'!X23,0)=0,0,1)</f>
        <v>0</v>
      </c>
      <c r="AC26" s="3">
        <f>IF(IFERROR('j309-3'!Y23,0)=0,0,1)</f>
        <v>0</v>
      </c>
      <c r="AD26" s="3">
        <f>IF(IFERROR('j309-3'!Z23,0)=0,0,1)</f>
        <v>0</v>
      </c>
      <c r="AE26" s="3">
        <f>IF(IFERROR('j309-3'!AA23,0)=0,0,1)</f>
        <v>0</v>
      </c>
      <c r="AF26" s="3">
        <f>IF(IFERROR('j309-3'!AB23,0)=0,0,1)</f>
        <v>0</v>
      </c>
      <c r="AG26" s="3">
        <f>IF(IFERROR('j309-3'!AC23,0)=0,0,1)</f>
        <v>0</v>
      </c>
      <c r="AH26" s="3">
        <f>IF(IFERROR('j309-3'!AD23,0)=0,0,1)</f>
        <v>0</v>
      </c>
      <c r="AI26" s="3">
        <f>IF(IFERROR('j309-3'!AE23,0)=0,0,1)</f>
        <v>0</v>
      </c>
      <c r="AJ26" s="3">
        <f>IF(IFERROR('j309-3'!AF23,0)=0,0,1)</f>
        <v>0</v>
      </c>
      <c r="AK26" s="3">
        <f>IF(IFERROR('j309-3'!AG23,0)=0,0,1)</f>
        <v>0</v>
      </c>
      <c r="AL26" s="3">
        <f>IF(IFERROR('j309-3'!AH23,0)=0,0,1)</f>
        <v>0</v>
      </c>
      <c r="AM26" s="3">
        <f>IF(IFERROR('j309-3'!AI23,0)=0,0,1)</f>
        <v>0</v>
      </c>
      <c r="AN26" s="3">
        <f>IF(IFERROR('j309-3'!AJ23,0)=0,0,1)</f>
        <v>0</v>
      </c>
      <c r="AO26" s="3">
        <f>IF(IFERROR('j309-3'!AK23,0)=0,0,1)</f>
        <v>0</v>
      </c>
      <c r="AP26" s="3">
        <f>IF(IFERROR('j309-3'!AL23,0)=0,0,1)</f>
        <v>1</v>
      </c>
      <c r="AQ26" s="3">
        <f>IF(IFERROR('j309-3'!AM23,0)=0,0,1)</f>
        <v>0</v>
      </c>
      <c r="AR26" s="3">
        <f>IF(IFERROR('j309-3'!AN23,0)=0,0,1)</f>
        <v>0</v>
      </c>
      <c r="AS26" s="3">
        <f>IF(IFERROR('j309-3'!AO23,0)=0,0,1)</f>
        <v>0</v>
      </c>
      <c r="AT26" s="3">
        <f>IF(IFERROR('j309-3'!AP23,0)=0,0,1)</f>
        <v>0</v>
      </c>
    </row>
    <row r="27" spans="1:46" ht="42" customHeight="1" x14ac:dyDescent="0.3">
      <c r="B27" s="3">
        <v>23</v>
      </c>
      <c r="C27" s="8">
        <v>7</v>
      </c>
      <c r="D27" s="3">
        <v>0</v>
      </c>
      <c r="E27" s="3">
        <v>9</v>
      </c>
      <c r="F27" s="3">
        <v>0</v>
      </c>
      <c r="G27" s="3">
        <v>6</v>
      </c>
      <c r="N27" s="7">
        <v>23</v>
      </c>
      <c r="O27" s="3">
        <f>IF(IFERROR('j309-3'!K24,0)=0,0,1)</f>
        <v>0</v>
      </c>
      <c r="P27" s="3">
        <f>IF(IFERROR('j309-3'!L24,0)=0,0,1)</f>
        <v>0</v>
      </c>
      <c r="Q27" s="3">
        <f>IF(IFERROR('j309-3'!M24,0)=0,0,1)</f>
        <v>0</v>
      </c>
      <c r="R27" s="3">
        <f>IF(IFERROR('j309-3'!N24,0)=0,0,1)</f>
        <v>0</v>
      </c>
      <c r="S27" s="3">
        <f>IF(IFERROR('j309-3'!O24,0)=0,0,1)</f>
        <v>0</v>
      </c>
      <c r="T27" s="3">
        <f>IF(IFERROR('j309-3'!P24,0)=0,0,1)</f>
        <v>0</v>
      </c>
      <c r="U27" s="3">
        <f>IF(IFERROR('j309-3'!Q24,0)=0,0,1)</f>
        <v>0</v>
      </c>
      <c r="V27" s="3">
        <f>IF(IFERROR('j309-3'!R24,0)=0,0,1)</f>
        <v>0</v>
      </c>
      <c r="W27" s="3">
        <f>IF(IFERROR('j309-3'!S24,0)=0,0,1)</f>
        <v>0</v>
      </c>
      <c r="X27" s="3">
        <f>IF(IFERROR('j309-3'!T24,0)=0,0,1)</f>
        <v>0</v>
      </c>
      <c r="Y27" s="3">
        <f>IF(IFERROR('j309-3'!U24,0)=0,0,1)</f>
        <v>0</v>
      </c>
      <c r="Z27" s="3">
        <f>IF(IFERROR('j309-3'!V24,0)=0,0,1)</f>
        <v>0</v>
      </c>
      <c r="AA27" s="3">
        <f>IF(IFERROR('j309-3'!W24,0)=0,0,1)</f>
        <v>0</v>
      </c>
      <c r="AB27" s="3">
        <f>IF(IFERROR('j309-3'!X24,0)=0,0,1)</f>
        <v>0</v>
      </c>
      <c r="AC27" s="3">
        <f>IF(IFERROR('j309-3'!Y24,0)=0,0,1)</f>
        <v>0</v>
      </c>
      <c r="AD27" s="3">
        <f>IF(IFERROR('j309-3'!Z24,0)=0,0,1)</f>
        <v>0</v>
      </c>
      <c r="AE27" s="3">
        <f>IF(IFERROR('j309-3'!AA24,0)=0,0,1)</f>
        <v>0</v>
      </c>
      <c r="AF27" s="3">
        <f>IF(IFERROR('j309-3'!AB24,0)=0,0,1)</f>
        <v>0</v>
      </c>
      <c r="AG27" s="3">
        <f>IF(IFERROR('j309-3'!AC24,0)=0,0,1)</f>
        <v>0</v>
      </c>
      <c r="AH27" s="3">
        <f>IF(IFERROR('j309-3'!AD24,0)=0,0,1)</f>
        <v>0</v>
      </c>
      <c r="AI27" s="3">
        <f>IF(IFERROR('j309-3'!AE24,0)=0,0,1)</f>
        <v>0</v>
      </c>
      <c r="AJ27" s="3">
        <f>IF(IFERROR('j309-3'!AF24,0)=0,0,1)</f>
        <v>0</v>
      </c>
      <c r="AK27" s="3">
        <f>IF(IFERROR('j309-3'!AG24,0)=0,0,1)</f>
        <v>0</v>
      </c>
      <c r="AL27" s="3">
        <f>IF(IFERROR('j309-3'!AH24,0)=0,0,1)</f>
        <v>0</v>
      </c>
      <c r="AM27" s="3">
        <f>IF(IFERROR('j309-3'!AI24,0)=0,0,1)</f>
        <v>0</v>
      </c>
      <c r="AN27" s="3">
        <f>IF(IFERROR('j309-3'!AJ24,0)=0,0,1)</f>
        <v>1</v>
      </c>
      <c r="AO27" s="3">
        <f>IF(IFERROR('j309-3'!AK24,0)=0,0,1)</f>
        <v>0</v>
      </c>
      <c r="AP27" s="3">
        <f>IF(IFERROR('j309-3'!AL24,0)=0,0,1)</f>
        <v>0</v>
      </c>
      <c r="AQ27" s="3">
        <f>IF(IFERROR('j309-3'!AM24,0)=0,0,1)</f>
        <v>0</v>
      </c>
      <c r="AR27" s="3">
        <f>IF(IFERROR('j309-3'!AN24,0)=0,0,1)</f>
        <v>0</v>
      </c>
      <c r="AS27" s="3">
        <f>IF(IFERROR('j309-3'!AO24,0)=0,0,1)</f>
        <v>0</v>
      </c>
      <c r="AT27" s="3">
        <f>IF(IFERROR('j309-3'!AP24,0)=0,0,1)</f>
        <v>0</v>
      </c>
    </row>
    <row r="28" spans="1:46" ht="42" customHeight="1" x14ac:dyDescent="0.3">
      <c r="B28" s="3">
        <v>24</v>
      </c>
      <c r="C28" s="8">
        <v>7</v>
      </c>
      <c r="D28" s="3">
        <v>1</v>
      </c>
      <c r="E28" s="3">
        <v>10</v>
      </c>
      <c r="F28" s="3">
        <v>10</v>
      </c>
      <c r="G28" s="3">
        <v>0</v>
      </c>
      <c r="N28" s="7">
        <v>24</v>
      </c>
      <c r="O28" s="3">
        <f>IF(IFERROR('j309-3'!K25,0)=0,0,1)</f>
        <v>0</v>
      </c>
      <c r="P28" s="3">
        <f>IF(IFERROR('j309-3'!L25,0)=0,0,1)</f>
        <v>0</v>
      </c>
      <c r="Q28" s="3">
        <f>IF(IFERROR('j309-3'!M25,0)=0,0,1)</f>
        <v>0</v>
      </c>
      <c r="R28" s="3">
        <f>IF(IFERROR('j309-3'!N25,0)=0,0,1)</f>
        <v>0</v>
      </c>
      <c r="S28" s="3">
        <f>IF(IFERROR('j309-3'!O25,0)=0,0,1)</f>
        <v>0</v>
      </c>
      <c r="T28" s="3">
        <f>IF(IFERROR('j309-3'!P25,0)=0,0,1)</f>
        <v>0</v>
      </c>
      <c r="U28" s="3">
        <f>IF(IFERROR('j309-3'!Q25,0)=0,0,1)</f>
        <v>0</v>
      </c>
      <c r="V28" s="3">
        <f>IF(IFERROR('j309-3'!R25,0)=0,0,1)</f>
        <v>0</v>
      </c>
      <c r="W28" s="3">
        <f>IF(IFERROR('j309-3'!S25,0)=0,0,1)</f>
        <v>0</v>
      </c>
      <c r="X28" s="3">
        <f>IF(IFERROR('j309-3'!T25,0)=0,0,1)</f>
        <v>0</v>
      </c>
      <c r="Y28" s="3">
        <f>IF(IFERROR('j309-3'!U25,0)=0,0,1)</f>
        <v>0</v>
      </c>
      <c r="Z28" s="3">
        <f>IF(IFERROR('j309-3'!V25,0)=0,0,1)</f>
        <v>0</v>
      </c>
      <c r="AA28" s="3">
        <f>IF(IFERROR('j309-3'!W25,0)=0,0,1)</f>
        <v>0</v>
      </c>
      <c r="AB28" s="3">
        <f>IF(IFERROR('j309-3'!X25,0)=0,0,1)</f>
        <v>0</v>
      </c>
      <c r="AC28" s="3">
        <f>IF(IFERROR('j309-3'!Y25,0)=0,0,1)</f>
        <v>0</v>
      </c>
      <c r="AD28" s="3">
        <f>IF(IFERROR('j309-3'!Z25,0)=0,0,1)</f>
        <v>0</v>
      </c>
      <c r="AE28" s="3">
        <f>IF(IFERROR('j309-3'!AA25,0)=0,0,1)</f>
        <v>0</v>
      </c>
      <c r="AF28" s="3">
        <f>IF(IFERROR('j309-3'!AB25,0)=0,0,1)</f>
        <v>0</v>
      </c>
      <c r="AG28" s="3">
        <f>IF(IFERROR('j309-3'!AC25,0)=0,0,1)</f>
        <v>0</v>
      </c>
      <c r="AH28" s="3">
        <f>IF(IFERROR('j309-3'!AD25,0)=0,0,1)</f>
        <v>0</v>
      </c>
      <c r="AI28" s="3">
        <f>IF(IFERROR('j309-3'!AE25,0)=0,0,1)</f>
        <v>0</v>
      </c>
      <c r="AJ28" s="3">
        <f>IF(IFERROR('j309-3'!AF25,0)=0,0,1)</f>
        <v>0</v>
      </c>
      <c r="AK28" s="3">
        <f>IF(IFERROR('j309-3'!AG25,0)=0,0,1)</f>
        <v>0</v>
      </c>
      <c r="AL28" s="3">
        <f>IF(IFERROR('j309-3'!AH25,0)=0,0,1)</f>
        <v>0</v>
      </c>
      <c r="AM28" s="3">
        <f>IF(IFERROR('j309-3'!AI25,0)=0,0,1)</f>
        <v>0</v>
      </c>
      <c r="AN28" s="3">
        <f>IF(IFERROR('j309-3'!AJ25,0)=0,0,1)</f>
        <v>0</v>
      </c>
      <c r="AO28" s="3">
        <f>IF(IFERROR('j309-3'!AK25,0)=0,0,1)</f>
        <v>1</v>
      </c>
      <c r="AP28" s="3">
        <f>IF(IFERROR('j309-3'!AL25,0)=0,0,1)</f>
        <v>0</v>
      </c>
      <c r="AQ28" s="3">
        <f>IF(IFERROR('j309-3'!AM25,0)=0,0,1)</f>
        <v>0</v>
      </c>
      <c r="AR28" s="3">
        <f>IF(IFERROR('j309-3'!AN25,0)=0,0,1)</f>
        <v>0</v>
      </c>
      <c r="AS28" s="3">
        <f>IF(IFERROR('j309-3'!AO25,0)=0,0,1)</f>
        <v>0</v>
      </c>
      <c r="AT28" s="3">
        <f>IF(IFERROR('j309-3'!AP25,0)=0,0,1)</f>
        <v>0</v>
      </c>
    </row>
    <row r="29" spans="1:46" ht="42" customHeight="1" x14ac:dyDescent="0.3">
      <c r="B29" s="3">
        <v>25</v>
      </c>
      <c r="C29" s="8">
        <v>4</v>
      </c>
      <c r="D29" s="3">
        <v>0</v>
      </c>
      <c r="E29" s="3">
        <v>4</v>
      </c>
      <c r="F29" s="3">
        <v>7</v>
      </c>
      <c r="G29" s="3">
        <v>9</v>
      </c>
      <c r="N29" s="7">
        <v>25</v>
      </c>
      <c r="O29" s="3">
        <f>IF(IFERROR('j309-3'!K26,0)=0,0,1)</f>
        <v>0</v>
      </c>
      <c r="P29" s="3">
        <f>IF(IFERROR('j309-3'!L26,0)=0,0,1)</f>
        <v>0</v>
      </c>
      <c r="Q29" s="3">
        <f>IF(IFERROR('j309-3'!M26,0)=0,0,1)</f>
        <v>0</v>
      </c>
      <c r="R29" s="3">
        <f>IF(IFERROR('j309-3'!N26,0)=0,0,1)</f>
        <v>0</v>
      </c>
      <c r="S29" s="3">
        <f>IF(IFERROR('j309-3'!O26,0)=0,0,1)</f>
        <v>0</v>
      </c>
      <c r="T29" s="3">
        <f>IF(IFERROR('j309-3'!P26,0)=0,0,1)</f>
        <v>0</v>
      </c>
      <c r="U29" s="3">
        <f>IF(IFERROR('j309-3'!Q26,0)=0,0,1)</f>
        <v>0</v>
      </c>
      <c r="V29" s="3">
        <f>IF(IFERROR('j309-3'!R26,0)=0,0,1)</f>
        <v>0</v>
      </c>
      <c r="W29" s="3">
        <f>IF(IFERROR('j309-3'!S26,0)=0,0,1)</f>
        <v>0</v>
      </c>
      <c r="X29" s="3">
        <f>IF(IFERROR('j309-3'!T26,0)=0,0,1)</f>
        <v>0</v>
      </c>
      <c r="Y29" s="3">
        <f>IF(IFERROR('j309-3'!U26,0)=0,0,1)</f>
        <v>0</v>
      </c>
      <c r="Z29" s="3">
        <f>IF(IFERROR('j309-3'!V26,0)=0,0,1)</f>
        <v>0</v>
      </c>
      <c r="AA29" s="3">
        <f>IF(IFERROR('j309-3'!W26,0)=0,0,1)</f>
        <v>0</v>
      </c>
      <c r="AB29" s="3">
        <f>IF(IFERROR('j309-3'!X26,0)=0,0,1)</f>
        <v>0</v>
      </c>
      <c r="AC29" s="3">
        <f>IF(IFERROR('j309-3'!Y26,0)=0,0,1)</f>
        <v>0</v>
      </c>
      <c r="AD29" s="3">
        <f>IF(IFERROR('j309-3'!Z26,0)=0,0,1)</f>
        <v>0</v>
      </c>
      <c r="AE29" s="3">
        <f>IF(IFERROR('j309-3'!AA26,0)=0,0,1)</f>
        <v>0</v>
      </c>
      <c r="AF29" s="3">
        <f>IF(IFERROR('j309-3'!AB26,0)=0,0,1)</f>
        <v>0</v>
      </c>
      <c r="AG29" s="3">
        <f>IF(IFERROR('j309-3'!AC26,0)=0,0,1)</f>
        <v>0</v>
      </c>
      <c r="AH29" s="3">
        <f>IF(IFERROR('j309-3'!AD26,0)=0,0,1)</f>
        <v>0</v>
      </c>
      <c r="AI29" s="3">
        <f>IF(IFERROR('j309-3'!AE26,0)=0,0,1)</f>
        <v>0</v>
      </c>
      <c r="AJ29" s="3">
        <f>IF(IFERROR('j309-3'!AF26,0)=0,0,1)</f>
        <v>0</v>
      </c>
      <c r="AK29" s="3">
        <f>IF(IFERROR('j309-3'!AG26,0)=0,0,1)</f>
        <v>0</v>
      </c>
      <c r="AL29" s="3">
        <f>IF(IFERROR('j309-3'!AH26,0)=0,0,1)</f>
        <v>0</v>
      </c>
      <c r="AM29" s="3">
        <f>IF(IFERROR('j309-3'!AI26,0)=0,0,1)</f>
        <v>0</v>
      </c>
      <c r="AN29" s="3">
        <f>IF(IFERROR('j309-3'!AJ26,0)=0,0,1)</f>
        <v>1</v>
      </c>
      <c r="AO29" s="3">
        <f>IF(IFERROR('j309-3'!AK26,0)=0,0,1)</f>
        <v>0</v>
      </c>
      <c r="AP29" s="3">
        <f>IF(IFERROR('j309-3'!AL26,0)=0,0,1)</f>
        <v>0</v>
      </c>
      <c r="AQ29" s="3">
        <f>IF(IFERROR('j309-3'!AM26,0)=0,0,1)</f>
        <v>1</v>
      </c>
      <c r="AR29" s="3">
        <f>IF(IFERROR('j309-3'!AN26,0)=0,0,1)</f>
        <v>0</v>
      </c>
      <c r="AS29" s="3">
        <f>IF(IFERROR('j309-3'!AO26,0)=0,0,1)</f>
        <v>0</v>
      </c>
      <c r="AT29" s="3">
        <f>IF(IFERROR('j309-3'!AP26,0)=0,0,1)</f>
        <v>0</v>
      </c>
    </row>
    <row r="30" spans="1:46" ht="42" customHeight="1" x14ac:dyDescent="0.3">
      <c r="B30" s="3">
        <v>26</v>
      </c>
      <c r="C30" s="8">
        <v>7</v>
      </c>
      <c r="D30" s="3">
        <v>6</v>
      </c>
      <c r="E30" s="3">
        <v>0</v>
      </c>
      <c r="F30" s="3">
        <v>1</v>
      </c>
      <c r="G30" s="3">
        <v>1</v>
      </c>
      <c r="N30" s="7">
        <v>26</v>
      </c>
      <c r="O30" s="3">
        <f>IF(IFERROR('j309-3'!K27,0)=0,0,1)</f>
        <v>0</v>
      </c>
      <c r="P30" s="3">
        <f>IF(IFERROR('j309-3'!L27,0)=0,0,1)</f>
        <v>0</v>
      </c>
      <c r="Q30" s="3">
        <f>IF(IFERROR('j309-3'!M27,0)=0,0,1)</f>
        <v>0</v>
      </c>
      <c r="R30" s="3">
        <f>IF(IFERROR('j309-3'!N27,0)=0,0,1)</f>
        <v>0</v>
      </c>
      <c r="S30" s="3">
        <f>IF(IFERROR('j309-3'!O27,0)=0,0,1)</f>
        <v>0</v>
      </c>
      <c r="T30" s="3">
        <f>IF(IFERROR('j309-3'!P27,0)=0,0,1)</f>
        <v>0</v>
      </c>
      <c r="U30" s="3">
        <f>IF(IFERROR('j309-3'!Q27,0)=0,0,1)</f>
        <v>0</v>
      </c>
      <c r="V30" s="3">
        <f>IF(IFERROR('j309-3'!R27,0)=0,0,1)</f>
        <v>0</v>
      </c>
      <c r="W30" s="3">
        <f>IF(IFERROR('j309-3'!S27,0)=0,0,1)</f>
        <v>0</v>
      </c>
      <c r="X30" s="3">
        <f>IF(IFERROR('j309-3'!T27,0)=0,0,1)</f>
        <v>0</v>
      </c>
      <c r="Y30" s="3">
        <f>IF(IFERROR('j309-3'!U27,0)=0,0,1)</f>
        <v>0</v>
      </c>
      <c r="Z30" s="3">
        <f>IF(IFERROR('j309-3'!V27,0)=0,0,1)</f>
        <v>0</v>
      </c>
      <c r="AA30" s="3">
        <f>IF(IFERROR('j309-3'!W27,0)=0,0,1)</f>
        <v>0</v>
      </c>
      <c r="AB30" s="3">
        <f>IF(IFERROR('j309-3'!X27,0)=0,0,1)</f>
        <v>0</v>
      </c>
      <c r="AC30" s="3">
        <f>IF(IFERROR('j309-3'!Y27,0)=0,0,1)</f>
        <v>0</v>
      </c>
      <c r="AD30" s="3">
        <f>IF(IFERROR('j309-3'!Z27,0)=0,0,1)</f>
        <v>0</v>
      </c>
      <c r="AE30" s="3">
        <f>IF(IFERROR('j309-3'!AA27,0)=0,0,1)</f>
        <v>0</v>
      </c>
      <c r="AF30" s="3">
        <f>IF(IFERROR('j309-3'!AB27,0)=0,0,1)</f>
        <v>0</v>
      </c>
      <c r="AG30" s="3">
        <f>IF(IFERROR('j309-3'!AC27,0)=0,0,1)</f>
        <v>0</v>
      </c>
      <c r="AH30" s="3">
        <f>IF(IFERROR('j309-3'!AD27,0)=0,0,1)</f>
        <v>0</v>
      </c>
      <c r="AI30" s="3">
        <f>IF(IFERROR('j309-3'!AE27,0)=0,0,1)</f>
        <v>0</v>
      </c>
      <c r="AJ30" s="3">
        <f>IF(IFERROR('j309-3'!AF27,0)=0,0,1)</f>
        <v>0</v>
      </c>
      <c r="AK30" s="3">
        <f>IF(IFERROR('j309-3'!AG27,0)=0,0,1)</f>
        <v>0</v>
      </c>
      <c r="AL30" s="3">
        <f>IF(IFERROR('j309-3'!AH27,0)=0,0,1)</f>
        <v>0</v>
      </c>
      <c r="AM30" s="3">
        <f>IF(IFERROR('j309-3'!AI27,0)=0,0,1)</f>
        <v>0</v>
      </c>
      <c r="AN30" s="3">
        <f>IF(IFERROR('j309-3'!AJ27,0)=0,0,1)</f>
        <v>0</v>
      </c>
      <c r="AO30" s="3">
        <f>IF(IFERROR('j309-3'!AK27,0)=0,0,1)</f>
        <v>0</v>
      </c>
      <c r="AP30" s="3">
        <f>IF(IFERROR('j309-3'!AL27,0)=0,0,1)</f>
        <v>0</v>
      </c>
      <c r="AQ30" s="3">
        <f>IF(IFERROR('j309-3'!AM27,0)=0,0,1)</f>
        <v>0</v>
      </c>
      <c r="AR30" s="3">
        <f>IF(IFERROR('j309-3'!AN27,0)=0,0,1)</f>
        <v>0</v>
      </c>
      <c r="AS30" s="3">
        <f>IF(IFERROR('j309-3'!AO27,0)=0,0,1)</f>
        <v>1</v>
      </c>
      <c r="AT30" s="3">
        <f>IF(IFERROR('j309-3'!AP27,0)=0,0,1)</f>
        <v>0</v>
      </c>
    </row>
    <row r="31" spans="1:46" ht="42" customHeight="1" x14ac:dyDescent="0.3">
      <c r="B31" s="3">
        <v>27</v>
      </c>
      <c r="C31" s="8">
        <v>6</v>
      </c>
      <c r="D31" s="3">
        <v>1</v>
      </c>
      <c r="E31" s="3">
        <v>8</v>
      </c>
      <c r="F31" s="3">
        <v>8</v>
      </c>
      <c r="G31" s="3">
        <v>10</v>
      </c>
      <c r="N31" s="7">
        <v>27</v>
      </c>
      <c r="O31" s="3">
        <f>IF(IFERROR('j309-3'!K28,0)=0,0,1)</f>
        <v>0</v>
      </c>
      <c r="P31" s="3">
        <f>IF(IFERROR('j309-3'!L28,0)=0,0,1)</f>
        <v>0</v>
      </c>
      <c r="Q31" s="3">
        <f>IF(IFERROR('j309-3'!M28,0)=0,0,1)</f>
        <v>0</v>
      </c>
      <c r="R31" s="3">
        <f>IF(IFERROR('j309-3'!N28,0)=0,0,1)</f>
        <v>0</v>
      </c>
      <c r="S31" s="3">
        <f>IF(IFERROR('j309-3'!O28,0)=0,0,1)</f>
        <v>0</v>
      </c>
      <c r="T31" s="3">
        <f>IF(IFERROR('j309-3'!P28,0)=0,0,1)</f>
        <v>0</v>
      </c>
      <c r="U31" s="3">
        <f>IF(IFERROR('j309-3'!Q28,0)=0,0,1)</f>
        <v>0</v>
      </c>
      <c r="V31" s="3">
        <f>IF(IFERROR('j309-3'!R28,0)=0,0,1)</f>
        <v>0</v>
      </c>
      <c r="W31" s="3">
        <f>IF(IFERROR('j309-3'!S28,0)=0,0,1)</f>
        <v>0</v>
      </c>
      <c r="X31" s="3">
        <f>IF(IFERROR('j309-3'!T28,0)=0,0,1)</f>
        <v>0</v>
      </c>
      <c r="Y31" s="3">
        <f>IF(IFERROR('j309-3'!U28,0)=0,0,1)</f>
        <v>0</v>
      </c>
      <c r="Z31" s="3">
        <f>IF(IFERROR('j309-3'!V28,0)=0,0,1)</f>
        <v>0</v>
      </c>
      <c r="AA31" s="3">
        <f>IF(IFERROR('j309-3'!W28,0)=0,0,1)</f>
        <v>0</v>
      </c>
      <c r="AB31" s="3">
        <f>IF(IFERROR('j309-3'!X28,0)=0,0,1)</f>
        <v>0</v>
      </c>
      <c r="AC31" s="3">
        <f>IF(IFERROR('j309-3'!Y28,0)=0,0,1)</f>
        <v>0</v>
      </c>
      <c r="AD31" s="3">
        <f>IF(IFERROR('j309-3'!Z28,0)=0,0,1)</f>
        <v>0</v>
      </c>
      <c r="AE31" s="3">
        <f>IF(IFERROR('j309-3'!AA28,0)=0,0,1)</f>
        <v>0</v>
      </c>
      <c r="AF31" s="3">
        <f>IF(IFERROR('j309-3'!AB28,0)=0,0,1)</f>
        <v>0</v>
      </c>
      <c r="AG31" s="3">
        <f>IF(IFERROR('j309-3'!AC28,0)=0,0,1)</f>
        <v>0</v>
      </c>
      <c r="AH31" s="3">
        <f>IF(IFERROR('j309-3'!AD28,0)=0,0,1)</f>
        <v>0</v>
      </c>
      <c r="AI31" s="3">
        <f>IF(IFERROR('j309-3'!AE28,0)=0,0,1)</f>
        <v>0</v>
      </c>
      <c r="AJ31" s="3">
        <f>IF(IFERROR('j309-3'!AF28,0)=0,0,1)</f>
        <v>0</v>
      </c>
      <c r="AK31" s="3">
        <f>IF(IFERROR('j309-3'!AG28,0)=0,0,1)</f>
        <v>0</v>
      </c>
      <c r="AL31" s="3">
        <f>IF(IFERROR('j309-3'!AH28,0)=0,0,1)</f>
        <v>0</v>
      </c>
      <c r="AM31" s="3">
        <f>IF(IFERROR('j309-3'!AI28,0)=0,0,1)</f>
        <v>0</v>
      </c>
      <c r="AN31" s="3">
        <f>IF(IFERROR('j309-3'!AJ28,0)=0,0,1)</f>
        <v>0</v>
      </c>
      <c r="AO31" s="3">
        <f>IF(IFERROR('j309-3'!AK28,0)=0,0,1)</f>
        <v>0</v>
      </c>
      <c r="AP31" s="3">
        <f>IF(IFERROR('j309-3'!AL28,0)=0,0,1)</f>
        <v>0</v>
      </c>
      <c r="AQ31" s="3">
        <f>IF(IFERROR('j309-3'!AM28,0)=0,0,1)</f>
        <v>0</v>
      </c>
      <c r="AR31" s="3">
        <f>IF(IFERROR('j309-3'!AN28,0)=0,0,1)</f>
        <v>1</v>
      </c>
      <c r="AS31" s="3">
        <f>IF(IFERROR('j309-3'!AO28,0)=0,0,1)</f>
        <v>0</v>
      </c>
      <c r="AT31" s="3">
        <f>IF(IFERROR('j309-3'!AP28,0)=0,0,1)</f>
        <v>0</v>
      </c>
    </row>
    <row r="32" spans="1:46" ht="42" customHeight="1" x14ac:dyDescent="0.3">
      <c r="B32" s="3">
        <v>28</v>
      </c>
      <c r="C32" s="8">
        <v>5</v>
      </c>
      <c r="D32" s="3">
        <v>7</v>
      </c>
      <c r="E32" s="3">
        <v>4</v>
      </c>
      <c r="F32" s="3">
        <v>8</v>
      </c>
      <c r="G32" s="3">
        <v>0</v>
      </c>
      <c r="N32" s="7">
        <v>28</v>
      </c>
      <c r="O32" s="3">
        <f>IF(IFERROR('j309-3'!K29,0)=0,0,1)</f>
        <v>0</v>
      </c>
      <c r="P32" s="3">
        <f>IF(IFERROR('j309-3'!L29,0)=0,0,1)</f>
        <v>0</v>
      </c>
      <c r="Q32" s="3">
        <f>IF(IFERROR('j309-3'!M29,0)=0,0,1)</f>
        <v>0</v>
      </c>
      <c r="R32" s="3">
        <f>IF(IFERROR('j309-3'!N29,0)=0,0,1)</f>
        <v>0</v>
      </c>
      <c r="S32" s="3">
        <f>IF(IFERROR('j309-3'!O29,0)=0,0,1)</f>
        <v>0</v>
      </c>
      <c r="T32" s="3">
        <f>IF(IFERROR('j309-3'!P29,0)=0,0,1)</f>
        <v>0</v>
      </c>
      <c r="U32" s="3">
        <f>IF(IFERROR('j309-3'!Q29,0)=0,0,1)</f>
        <v>0</v>
      </c>
      <c r="V32" s="3">
        <f>IF(IFERROR('j309-3'!R29,0)=0,0,1)</f>
        <v>0</v>
      </c>
      <c r="W32" s="3">
        <f>IF(IFERROR('j309-3'!S29,0)=0,0,1)</f>
        <v>0</v>
      </c>
      <c r="X32" s="3">
        <f>IF(IFERROR('j309-3'!T29,0)=0,0,1)</f>
        <v>0</v>
      </c>
      <c r="Y32" s="3">
        <f>IF(IFERROR('j309-3'!U29,0)=0,0,1)</f>
        <v>0</v>
      </c>
      <c r="Z32" s="3">
        <f>IF(IFERROR('j309-3'!V29,0)=0,0,1)</f>
        <v>0</v>
      </c>
      <c r="AA32" s="3">
        <f>IF(IFERROR('j309-3'!W29,0)=0,0,1)</f>
        <v>0</v>
      </c>
      <c r="AB32" s="3">
        <f>IF(IFERROR('j309-3'!X29,0)=0,0,1)</f>
        <v>0</v>
      </c>
      <c r="AC32" s="3">
        <f>IF(IFERROR('j309-3'!Y29,0)=0,0,1)</f>
        <v>0</v>
      </c>
      <c r="AD32" s="3">
        <f>IF(IFERROR('j309-3'!Z29,0)=0,0,1)</f>
        <v>0</v>
      </c>
      <c r="AE32" s="3">
        <f>IF(IFERROR('j309-3'!AA29,0)=0,0,1)</f>
        <v>0</v>
      </c>
      <c r="AF32" s="3">
        <f>IF(IFERROR('j309-3'!AB29,0)=0,0,1)</f>
        <v>0</v>
      </c>
      <c r="AG32" s="3">
        <f>IF(IFERROR('j309-3'!AC29,0)=0,0,1)</f>
        <v>0</v>
      </c>
      <c r="AH32" s="3">
        <f>IF(IFERROR('j309-3'!AD29,0)=0,0,1)</f>
        <v>0</v>
      </c>
      <c r="AI32" s="3">
        <f>IF(IFERROR('j309-3'!AE29,0)=0,0,1)</f>
        <v>0</v>
      </c>
      <c r="AJ32" s="3">
        <f>IF(IFERROR('j309-3'!AF29,0)=0,0,1)</f>
        <v>0</v>
      </c>
      <c r="AK32" s="3">
        <f>IF(IFERROR('j309-3'!AG29,0)=0,0,1)</f>
        <v>0</v>
      </c>
      <c r="AL32" s="3">
        <f>IF(IFERROR('j309-3'!AH29,0)=0,0,1)</f>
        <v>0</v>
      </c>
      <c r="AM32" s="3">
        <f>IF(IFERROR('j309-3'!AI29,0)=0,0,1)</f>
        <v>0</v>
      </c>
      <c r="AN32" s="3">
        <f>IF(IFERROR('j309-3'!AJ29,0)=0,0,1)</f>
        <v>0</v>
      </c>
      <c r="AO32" s="3">
        <f>IF(IFERROR('j309-3'!AK29,0)=0,0,1)</f>
        <v>0</v>
      </c>
      <c r="AP32" s="3">
        <f>IF(IFERROR('j309-3'!AL29,0)=0,0,1)</f>
        <v>0</v>
      </c>
      <c r="AQ32" s="3">
        <f>IF(IFERROR('j309-3'!AM29,0)=0,0,1)</f>
        <v>0</v>
      </c>
      <c r="AR32" s="3">
        <f>IF(IFERROR('j309-3'!AN29,0)=0,0,1)</f>
        <v>1</v>
      </c>
      <c r="AS32" s="3">
        <f>IF(IFERROR('j309-3'!AO29,0)=0,0,1)</f>
        <v>0</v>
      </c>
      <c r="AT32" s="3">
        <f>IF(IFERROR('j309-3'!AP29,0)=0,0,1)</f>
        <v>0</v>
      </c>
    </row>
    <row r="33" spans="2:46" ht="42" customHeight="1" x14ac:dyDescent="0.3">
      <c r="B33" s="3">
        <v>29</v>
      </c>
      <c r="C33" s="8">
        <v>3</v>
      </c>
      <c r="D33" s="3">
        <v>0</v>
      </c>
      <c r="E33" s="3">
        <v>7</v>
      </c>
      <c r="F33" s="3">
        <v>10</v>
      </c>
      <c r="G33" s="3">
        <v>9</v>
      </c>
      <c r="N33" s="7">
        <v>29</v>
      </c>
      <c r="O33" s="3">
        <f>IF(IFERROR('j309-3'!K30,0)=0,0,1)</f>
        <v>0</v>
      </c>
      <c r="P33" s="3">
        <f>IF(IFERROR('j309-3'!L30,0)=0,0,1)</f>
        <v>0</v>
      </c>
      <c r="Q33" s="3">
        <f>IF(IFERROR('j309-3'!M30,0)=0,0,1)</f>
        <v>0</v>
      </c>
      <c r="R33" s="3">
        <f>IF(IFERROR('j309-3'!N30,0)=0,0,1)</f>
        <v>0</v>
      </c>
      <c r="S33" s="3">
        <f>IF(IFERROR('j309-3'!O30,0)=0,0,1)</f>
        <v>0</v>
      </c>
      <c r="T33" s="3">
        <f>IF(IFERROR('j309-3'!P30,0)=0,0,1)</f>
        <v>0</v>
      </c>
      <c r="U33" s="3">
        <f>IF(IFERROR('j309-3'!Q30,0)=0,0,1)</f>
        <v>0</v>
      </c>
      <c r="V33" s="3">
        <f>IF(IFERROR('j309-3'!R30,0)=0,0,1)</f>
        <v>0</v>
      </c>
      <c r="W33" s="3">
        <f>IF(IFERROR('j309-3'!S30,0)=0,0,1)</f>
        <v>0</v>
      </c>
      <c r="X33" s="3">
        <f>IF(IFERROR('j309-3'!T30,0)=0,0,1)</f>
        <v>0</v>
      </c>
      <c r="Y33" s="3">
        <f>IF(IFERROR('j309-3'!U30,0)=0,0,1)</f>
        <v>0</v>
      </c>
      <c r="Z33" s="3">
        <f>IF(IFERROR('j309-3'!V30,0)=0,0,1)</f>
        <v>0</v>
      </c>
      <c r="AA33" s="3">
        <f>IF(IFERROR('j309-3'!W30,0)=0,0,1)</f>
        <v>0</v>
      </c>
      <c r="AB33" s="3">
        <f>IF(IFERROR('j309-3'!X30,0)=0,0,1)</f>
        <v>0</v>
      </c>
      <c r="AC33" s="3">
        <f>IF(IFERROR('j309-3'!Y30,0)=0,0,1)</f>
        <v>0</v>
      </c>
      <c r="AD33" s="3">
        <f>IF(IFERROR('j309-3'!Z30,0)=0,0,1)</f>
        <v>0</v>
      </c>
      <c r="AE33" s="3">
        <f>IF(IFERROR('j309-3'!AA30,0)=0,0,1)</f>
        <v>0</v>
      </c>
      <c r="AF33" s="3">
        <f>IF(IFERROR('j309-3'!AB30,0)=0,0,1)</f>
        <v>0</v>
      </c>
      <c r="AG33" s="3">
        <f>IF(IFERROR('j309-3'!AC30,0)=0,0,1)</f>
        <v>0</v>
      </c>
      <c r="AH33" s="3">
        <f>IF(IFERROR('j309-3'!AD30,0)=0,0,1)</f>
        <v>0</v>
      </c>
      <c r="AI33" s="3">
        <f>IF(IFERROR('j309-3'!AE30,0)=0,0,1)</f>
        <v>0</v>
      </c>
      <c r="AJ33" s="3">
        <f>IF(IFERROR('j309-3'!AF30,0)=0,0,1)</f>
        <v>0</v>
      </c>
      <c r="AK33" s="3">
        <f>IF(IFERROR('j309-3'!AG30,0)=0,0,1)</f>
        <v>0</v>
      </c>
      <c r="AL33" s="3">
        <f>IF(IFERROR('j309-3'!AH30,0)=0,0,1)</f>
        <v>0</v>
      </c>
      <c r="AM33" s="3">
        <f>IF(IFERROR('j309-3'!AI30,0)=0,0,1)</f>
        <v>0</v>
      </c>
      <c r="AN33" s="3">
        <f>IF(IFERROR('j309-3'!AJ30,0)=0,0,1)</f>
        <v>0</v>
      </c>
      <c r="AO33" s="3">
        <f>IF(IFERROR('j309-3'!AK30,0)=0,0,1)</f>
        <v>0</v>
      </c>
      <c r="AP33" s="3">
        <f>IF(IFERROR('j309-3'!AL30,0)=0,0,1)</f>
        <v>0</v>
      </c>
      <c r="AQ33" s="3">
        <f>IF(IFERROR('j309-3'!AM30,0)=0,0,1)</f>
        <v>0</v>
      </c>
      <c r="AR33" s="3">
        <f>IF(IFERROR('j309-3'!AN30,0)=0,0,1)</f>
        <v>0</v>
      </c>
      <c r="AS33" s="3">
        <f>IF(IFERROR('j309-3'!AO30,0)=0,0,1)</f>
        <v>0</v>
      </c>
      <c r="AT33" s="3">
        <f>IF(IFERROR('j309-3'!AP30,0)=0,0,1)</f>
        <v>1</v>
      </c>
    </row>
    <row r="34" spans="2:46" ht="42" customHeight="1" x14ac:dyDescent="0.3">
      <c r="B34" s="3">
        <v>30</v>
      </c>
      <c r="C34" s="8">
        <v>8</v>
      </c>
      <c r="D34" s="3">
        <v>4</v>
      </c>
      <c r="E34" s="3">
        <v>0</v>
      </c>
      <c r="F34" s="3">
        <v>6</v>
      </c>
      <c r="G34" s="3">
        <v>1</v>
      </c>
      <c r="N34" s="7">
        <v>30</v>
      </c>
      <c r="O34" s="3">
        <f>IF(IFERROR('j309-3'!K31,0)=0,0,1)</f>
        <v>0</v>
      </c>
      <c r="P34" s="3">
        <f>IF(IFERROR('j309-3'!L31,0)=0,0,1)</f>
        <v>0</v>
      </c>
      <c r="Q34" s="3">
        <f>IF(IFERROR('j309-3'!M31,0)=0,0,1)</f>
        <v>0</v>
      </c>
      <c r="R34" s="3">
        <f>IF(IFERROR('j309-3'!N31,0)=0,0,1)</f>
        <v>0</v>
      </c>
      <c r="S34" s="3">
        <f>IF(IFERROR('j309-3'!O31,0)=0,0,1)</f>
        <v>0</v>
      </c>
      <c r="T34" s="3">
        <f>IF(IFERROR('j309-3'!P31,0)=0,0,1)</f>
        <v>0</v>
      </c>
      <c r="U34" s="3">
        <f>IF(IFERROR('j309-3'!Q31,0)=0,0,1)</f>
        <v>0</v>
      </c>
      <c r="V34" s="3">
        <f>IF(IFERROR('j309-3'!R31,0)=0,0,1)</f>
        <v>0</v>
      </c>
      <c r="W34" s="3">
        <f>IF(IFERROR('j309-3'!S31,0)=0,0,1)</f>
        <v>0</v>
      </c>
      <c r="X34" s="3">
        <f>IF(IFERROR('j309-3'!T31,0)=0,0,1)</f>
        <v>0</v>
      </c>
      <c r="Y34" s="3">
        <f>IF(IFERROR('j309-3'!U31,0)=0,0,1)</f>
        <v>0</v>
      </c>
      <c r="Z34" s="3">
        <f>IF(IFERROR('j309-3'!V31,0)=0,0,1)</f>
        <v>0</v>
      </c>
      <c r="AA34" s="3">
        <f>IF(IFERROR('j309-3'!W31,0)=0,0,1)</f>
        <v>0</v>
      </c>
      <c r="AB34" s="3">
        <f>IF(IFERROR('j309-3'!X31,0)=0,0,1)</f>
        <v>0</v>
      </c>
      <c r="AC34" s="3">
        <f>IF(IFERROR('j309-3'!Y31,0)=0,0,1)</f>
        <v>0</v>
      </c>
      <c r="AD34" s="3">
        <f>IF(IFERROR('j309-3'!Z31,0)=0,0,1)</f>
        <v>0</v>
      </c>
      <c r="AE34" s="3">
        <f>IF(IFERROR('j309-3'!AA31,0)=0,0,1)</f>
        <v>0</v>
      </c>
      <c r="AF34" s="3">
        <f>IF(IFERROR('j309-3'!AB31,0)=0,0,1)</f>
        <v>0</v>
      </c>
      <c r="AG34" s="3">
        <f>IF(IFERROR('j309-3'!AC31,0)=0,0,1)</f>
        <v>0</v>
      </c>
      <c r="AH34" s="3">
        <f>IF(IFERROR('j309-3'!AD31,0)=0,0,1)</f>
        <v>0</v>
      </c>
      <c r="AI34" s="3">
        <f>IF(IFERROR('j309-3'!AE31,0)=0,0,1)</f>
        <v>0</v>
      </c>
      <c r="AJ34" s="3">
        <f>IF(IFERROR('j309-3'!AF31,0)=0,0,1)</f>
        <v>0</v>
      </c>
      <c r="AK34" s="3">
        <f>IF(IFERROR('j309-3'!AG31,0)=0,0,1)</f>
        <v>0</v>
      </c>
      <c r="AL34" s="3">
        <f>IF(IFERROR('j309-3'!AH31,0)=0,0,1)</f>
        <v>0</v>
      </c>
      <c r="AM34" s="3">
        <f>IF(IFERROR('j309-3'!AI31,0)=0,0,1)</f>
        <v>0</v>
      </c>
      <c r="AN34" s="3">
        <f>IF(IFERROR('j309-3'!AJ31,0)=0,0,1)</f>
        <v>0</v>
      </c>
      <c r="AO34" s="3">
        <f>IF(IFERROR('j309-3'!AK31,0)=0,0,1)</f>
        <v>0</v>
      </c>
      <c r="AP34" s="3">
        <f>IF(IFERROR('j309-3'!AL31,0)=0,0,1)</f>
        <v>0</v>
      </c>
      <c r="AQ34" s="3">
        <f>IF(IFERROR('j309-3'!AM31,0)=0,0,1)</f>
        <v>0</v>
      </c>
      <c r="AR34" s="3">
        <f>IF(IFERROR('j309-3'!AN31,0)=0,0,1)</f>
        <v>0</v>
      </c>
      <c r="AS34" s="3">
        <f>IF(IFERROR('j309-3'!AO31,0)=0,0,1)</f>
        <v>0</v>
      </c>
      <c r="AT34" s="3">
        <f>IF(IFERROR('j309-3'!AP31,0)=0,0,1)</f>
        <v>1</v>
      </c>
    </row>
    <row r="35" spans="2:46" ht="42" customHeight="1" x14ac:dyDescent="0.3">
      <c r="B35" s="3">
        <v>31</v>
      </c>
      <c r="C35" s="8">
        <v>5</v>
      </c>
      <c r="D35" s="3">
        <v>9</v>
      </c>
      <c r="E35" s="3">
        <v>5</v>
      </c>
      <c r="F35" s="3">
        <v>0</v>
      </c>
      <c r="G35" s="3">
        <v>1</v>
      </c>
      <c r="N35" s="7">
        <v>31</v>
      </c>
      <c r="O35" s="3">
        <f>IF(IFERROR('j309-3'!K32,0)=0,0,1)</f>
        <v>0</v>
      </c>
      <c r="P35" s="3">
        <f>IF(IFERROR('j309-3'!L32,0)=0,0,1)</f>
        <v>0</v>
      </c>
      <c r="Q35" s="3">
        <f>IF(IFERROR('j309-3'!M32,0)=0,0,1)</f>
        <v>0</v>
      </c>
      <c r="R35" s="3">
        <f>IF(IFERROR('j309-3'!N32,0)=0,0,1)</f>
        <v>0</v>
      </c>
      <c r="S35" s="3">
        <f>IF(IFERROR('j309-3'!O32,0)=0,0,1)</f>
        <v>0</v>
      </c>
      <c r="T35" s="3">
        <f>IF(IFERROR('j309-3'!P32,0)=0,0,1)</f>
        <v>0</v>
      </c>
      <c r="U35" s="3">
        <f>IF(IFERROR('j309-3'!Q32,0)=0,0,1)</f>
        <v>0</v>
      </c>
      <c r="V35" s="3">
        <f>IF(IFERROR('j309-3'!R32,0)=0,0,1)</f>
        <v>0</v>
      </c>
      <c r="W35" s="3">
        <f>IF(IFERROR('j309-3'!S32,0)=0,0,1)</f>
        <v>0</v>
      </c>
      <c r="X35" s="3">
        <f>IF(IFERROR('j309-3'!T32,0)=0,0,1)</f>
        <v>0</v>
      </c>
      <c r="Y35" s="3">
        <f>IF(IFERROR('j309-3'!U32,0)=0,0,1)</f>
        <v>0</v>
      </c>
      <c r="Z35" s="3">
        <f>IF(IFERROR('j309-3'!V32,0)=0,0,1)</f>
        <v>0</v>
      </c>
      <c r="AA35" s="3">
        <f>IF(IFERROR('j309-3'!W32,0)=0,0,1)</f>
        <v>0</v>
      </c>
      <c r="AB35" s="3">
        <f>IF(IFERROR('j309-3'!X32,0)=0,0,1)</f>
        <v>0</v>
      </c>
      <c r="AC35" s="3">
        <f>IF(IFERROR('j309-3'!Y32,0)=0,0,1)</f>
        <v>0</v>
      </c>
      <c r="AD35" s="3">
        <f>IF(IFERROR('j309-3'!Z32,0)=0,0,1)</f>
        <v>0</v>
      </c>
      <c r="AE35" s="3">
        <f>IF(IFERROR('j309-3'!AA32,0)=0,0,1)</f>
        <v>0</v>
      </c>
      <c r="AF35" s="3">
        <f>IF(IFERROR('j309-3'!AB32,0)=0,0,1)</f>
        <v>0</v>
      </c>
      <c r="AG35" s="3">
        <f>IF(IFERROR('j309-3'!AC32,0)=0,0,1)</f>
        <v>0</v>
      </c>
      <c r="AH35" s="3">
        <f>IF(IFERROR('j309-3'!AD32,0)=0,0,1)</f>
        <v>0</v>
      </c>
      <c r="AI35" s="3">
        <f>IF(IFERROR('j309-3'!AE32,0)=0,0,1)</f>
        <v>0</v>
      </c>
      <c r="AJ35" s="3">
        <f>IF(IFERROR('j309-3'!AF32,0)=0,0,1)</f>
        <v>0</v>
      </c>
      <c r="AK35" s="3">
        <f>IF(IFERROR('j309-3'!AG32,0)=0,0,1)</f>
        <v>0</v>
      </c>
      <c r="AL35" s="3">
        <f>IF(IFERROR('j309-3'!AH32,0)=0,0,1)</f>
        <v>0</v>
      </c>
      <c r="AM35" s="3">
        <f>IF(IFERROR('j309-3'!AI32,0)=0,0,1)</f>
        <v>0</v>
      </c>
      <c r="AN35" s="3">
        <f>IF(IFERROR('j309-3'!AJ32,0)=0,0,1)</f>
        <v>0</v>
      </c>
      <c r="AO35" s="3">
        <f>IF(IFERROR('j309-3'!AK32,0)=0,0,1)</f>
        <v>0</v>
      </c>
      <c r="AP35" s="3">
        <f>IF(IFERROR('j309-3'!AL32,0)=0,0,1)</f>
        <v>0</v>
      </c>
      <c r="AQ35" s="3">
        <f>IF(IFERROR('j309-3'!AM32,0)=0,0,1)</f>
        <v>0</v>
      </c>
      <c r="AR35" s="3">
        <f>IF(IFERROR('j309-3'!AN32,0)=0,0,1)</f>
        <v>0</v>
      </c>
      <c r="AS35" s="3">
        <f>IF(IFERROR('j309-3'!AO32,0)=0,0,1)</f>
        <v>0</v>
      </c>
      <c r="AT35" s="3">
        <f>IF(IFERROR('j309-3'!AP32,0)=0,0,1)</f>
        <v>1</v>
      </c>
    </row>
    <row r="36" spans="2:46" ht="42" customHeight="1" x14ac:dyDescent="0.3">
      <c r="B36" s="3">
        <v>32</v>
      </c>
      <c r="C36" s="8">
        <v>2</v>
      </c>
      <c r="D36" s="3">
        <v>0</v>
      </c>
      <c r="E36" s="3">
        <v>0</v>
      </c>
      <c r="F36" s="3">
        <v>0</v>
      </c>
      <c r="G36" s="3">
        <v>0</v>
      </c>
      <c r="N36" s="7">
        <v>32</v>
      </c>
      <c r="O36" s="3">
        <f>IF(IFERROR('j309-3'!K33,0)=0,0,1)</f>
        <v>0</v>
      </c>
      <c r="P36" s="3">
        <f>IF(IFERROR('j309-3'!L33,0)=0,0,1)</f>
        <v>0</v>
      </c>
      <c r="Q36" s="3">
        <f>IF(IFERROR('j309-3'!M33,0)=0,0,1)</f>
        <v>0</v>
      </c>
      <c r="R36" s="3">
        <f>IF(IFERROR('j309-3'!N33,0)=0,0,1)</f>
        <v>0</v>
      </c>
      <c r="S36" s="3">
        <f>IF(IFERROR('j309-3'!O33,0)=0,0,1)</f>
        <v>0</v>
      </c>
      <c r="T36" s="3">
        <f>IF(IFERROR('j309-3'!P33,0)=0,0,1)</f>
        <v>0</v>
      </c>
      <c r="U36" s="3">
        <f>IF(IFERROR('j309-3'!Q33,0)=0,0,1)</f>
        <v>0</v>
      </c>
      <c r="V36" s="3">
        <f>IF(IFERROR('j309-3'!R33,0)=0,0,1)</f>
        <v>0</v>
      </c>
      <c r="W36" s="3">
        <f>IF(IFERROR('j309-3'!S33,0)=0,0,1)</f>
        <v>0</v>
      </c>
      <c r="X36" s="3">
        <f>IF(IFERROR('j309-3'!T33,0)=0,0,1)</f>
        <v>0</v>
      </c>
      <c r="Y36" s="3">
        <f>IF(IFERROR('j309-3'!U33,0)=0,0,1)</f>
        <v>0</v>
      </c>
      <c r="Z36" s="3">
        <f>IF(IFERROR('j309-3'!V33,0)=0,0,1)</f>
        <v>0</v>
      </c>
      <c r="AA36" s="3">
        <f>IF(IFERROR('j309-3'!W33,0)=0,0,1)</f>
        <v>0</v>
      </c>
      <c r="AB36" s="3">
        <f>IF(IFERROR('j309-3'!X33,0)=0,0,1)</f>
        <v>0</v>
      </c>
      <c r="AC36" s="3">
        <f>IF(IFERROR('j309-3'!Y33,0)=0,0,1)</f>
        <v>0</v>
      </c>
      <c r="AD36" s="3">
        <f>IF(IFERROR('j309-3'!Z33,0)=0,0,1)</f>
        <v>0</v>
      </c>
      <c r="AE36" s="3">
        <f>IF(IFERROR('j309-3'!AA33,0)=0,0,1)</f>
        <v>0</v>
      </c>
      <c r="AF36" s="3">
        <f>IF(IFERROR('j309-3'!AB33,0)=0,0,1)</f>
        <v>0</v>
      </c>
      <c r="AG36" s="3">
        <f>IF(IFERROR('j309-3'!AC33,0)=0,0,1)</f>
        <v>0</v>
      </c>
      <c r="AH36" s="3">
        <f>IF(IFERROR('j309-3'!AD33,0)=0,0,1)</f>
        <v>0</v>
      </c>
      <c r="AI36" s="3">
        <f>IF(IFERROR('j309-3'!AE33,0)=0,0,1)</f>
        <v>0</v>
      </c>
      <c r="AJ36" s="3">
        <f>IF(IFERROR('j309-3'!AF33,0)=0,0,1)</f>
        <v>0</v>
      </c>
      <c r="AK36" s="3">
        <f>IF(IFERROR('j309-3'!AG33,0)=0,0,1)</f>
        <v>0</v>
      </c>
      <c r="AL36" s="3">
        <f>IF(IFERROR('j309-3'!AH33,0)=0,0,1)</f>
        <v>0</v>
      </c>
      <c r="AM36" s="3">
        <f>IF(IFERROR('j309-3'!AI33,0)=0,0,1)</f>
        <v>0</v>
      </c>
      <c r="AN36" s="3">
        <f>IF(IFERROR('j309-3'!AJ33,0)=0,0,1)</f>
        <v>0</v>
      </c>
      <c r="AO36" s="3">
        <f>IF(IFERROR('j309-3'!AK33,0)=0,0,1)</f>
        <v>0</v>
      </c>
      <c r="AP36" s="3">
        <f>IF(IFERROR('j309-3'!AL33,0)=0,0,1)</f>
        <v>0</v>
      </c>
      <c r="AQ36" s="3">
        <f>IF(IFERROR('j309-3'!AM33,0)=0,0,1)</f>
        <v>0</v>
      </c>
      <c r="AR36" s="3">
        <f>IF(IFERROR('j309-3'!AN33,0)=0,0,1)</f>
        <v>0</v>
      </c>
      <c r="AS36" s="3">
        <f>IF(IFERROR('j309-3'!AO33,0)=0,0,1)</f>
        <v>0</v>
      </c>
      <c r="AT36" s="3">
        <f>IF(IFERROR('j309-3'!AP33,0)=0,0,1)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C3FA-188A-4DC3-AED6-9EF11F1A9AC1}">
  <dimension ref="C1:AP71"/>
  <sheetViews>
    <sheetView zoomScale="80" zoomScaleNormal="80" workbookViewId="0">
      <selection activeCell="K2" sqref="K2"/>
    </sheetView>
  </sheetViews>
  <sheetFormatPr defaultColWidth="17.5546875" defaultRowHeight="43.2" customHeight="1" x14ac:dyDescent="0.3"/>
  <cols>
    <col min="1" max="16384" width="17.5546875" style="1"/>
  </cols>
  <sheetData>
    <row r="1" spans="4:42" ht="43.2" customHeight="1" x14ac:dyDescent="0.3">
      <c r="D1" s="1" t="s">
        <v>4</v>
      </c>
      <c r="E1" s="1" t="s">
        <v>5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  <c r="AI1" s="2">
        <v>25</v>
      </c>
      <c r="AJ1" s="2">
        <v>26</v>
      </c>
      <c r="AK1" s="2">
        <v>27</v>
      </c>
      <c r="AL1" s="2">
        <v>28</v>
      </c>
      <c r="AM1" s="2">
        <v>29</v>
      </c>
      <c r="AN1" s="2">
        <v>30</v>
      </c>
      <c r="AO1" s="2">
        <v>31</v>
      </c>
      <c r="AP1" s="2">
        <v>32</v>
      </c>
    </row>
    <row r="2" spans="4:42" ht="43.2" customHeight="1" x14ac:dyDescent="0.3">
      <c r="D2" s="1">
        <v>1</v>
      </c>
      <c r="E2" s="1">
        <v>2</v>
      </c>
      <c r="F2" s="1">
        <v>3</v>
      </c>
      <c r="G2" s="1">
        <v>4</v>
      </c>
      <c r="J2" s="2">
        <v>1</v>
      </c>
      <c r="K2" s="1" t="e">
        <f>HLOOKUP(K1,$E2:$G2,1,FALSE)</f>
        <v>#N/A</v>
      </c>
      <c r="L2" s="1">
        <f t="shared" ref="L2:AP2" si="0">HLOOKUP(L1,$E2:$G2,1,FALSE)</f>
        <v>2</v>
      </c>
      <c r="M2" s="1">
        <f t="shared" si="0"/>
        <v>3</v>
      </c>
      <c r="N2" s="1">
        <f t="shared" si="0"/>
        <v>4</v>
      </c>
      <c r="O2" s="1" t="e">
        <f t="shared" si="0"/>
        <v>#N/A</v>
      </c>
      <c r="P2" s="1" t="e">
        <f t="shared" si="0"/>
        <v>#N/A</v>
      </c>
      <c r="Q2" s="1" t="e">
        <f t="shared" si="0"/>
        <v>#N/A</v>
      </c>
      <c r="R2" s="1" t="e">
        <f t="shared" si="0"/>
        <v>#N/A</v>
      </c>
      <c r="S2" s="1" t="e">
        <f t="shared" si="0"/>
        <v>#N/A</v>
      </c>
      <c r="T2" s="1" t="e">
        <f t="shared" si="0"/>
        <v>#N/A</v>
      </c>
      <c r="U2" s="1" t="e">
        <f t="shared" si="0"/>
        <v>#N/A</v>
      </c>
      <c r="V2" s="1" t="e">
        <f t="shared" si="0"/>
        <v>#N/A</v>
      </c>
      <c r="W2" s="1" t="e">
        <f t="shared" si="0"/>
        <v>#N/A</v>
      </c>
      <c r="X2" s="1" t="e">
        <f t="shared" si="0"/>
        <v>#N/A</v>
      </c>
      <c r="Y2" s="1" t="e">
        <f t="shared" si="0"/>
        <v>#N/A</v>
      </c>
      <c r="Z2" s="1" t="e">
        <f t="shared" si="0"/>
        <v>#N/A</v>
      </c>
      <c r="AA2" s="1" t="e">
        <f t="shared" si="0"/>
        <v>#N/A</v>
      </c>
      <c r="AB2" s="1" t="e">
        <f t="shared" si="0"/>
        <v>#N/A</v>
      </c>
      <c r="AC2" s="1" t="e">
        <f t="shared" si="0"/>
        <v>#N/A</v>
      </c>
      <c r="AD2" s="1" t="e">
        <f t="shared" si="0"/>
        <v>#N/A</v>
      </c>
      <c r="AE2" s="1" t="e">
        <f t="shared" si="0"/>
        <v>#N/A</v>
      </c>
      <c r="AF2" s="1" t="e">
        <f t="shared" si="0"/>
        <v>#N/A</v>
      </c>
      <c r="AG2" s="1" t="e">
        <f t="shared" si="0"/>
        <v>#N/A</v>
      </c>
      <c r="AH2" s="1" t="e">
        <f t="shared" si="0"/>
        <v>#N/A</v>
      </c>
      <c r="AI2" s="1" t="e">
        <f t="shared" si="0"/>
        <v>#N/A</v>
      </c>
      <c r="AJ2" s="1" t="e">
        <f t="shared" si="0"/>
        <v>#N/A</v>
      </c>
      <c r="AK2" s="1" t="e">
        <f t="shared" si="0"/>
        <v>#N/A</v>
      </c>
      <c r="AL2" s="1" t="e">
        <f t="shared" si="0"/>
        <v>#N/A</v>
      </c>
      <c r="AM2" s="1" t="e">
        <f t="shared" si="0"/>
        <v>#N/A</v>
      </c>
      <c r="AN2" s="1" t="e">
        <f t="shared" si="0"/>
        <v>#N/A</v>
      </c>
      <c r="AO2" s="1" t="e">
        <f t="shared" si="0"/>
        <v>#N/A</v>
      </c>
      <c r="AP2" s="1" t="e">
        <f t="shared" si="0"/>
        <v>#N/A</v>
      </c>
    </row>
    <row r="3" spans="4:42" ht="43.2" customHeight="1" x14ac:dyDescent="0.3">
      <c r="D3" s="1">
        <v>2</v>
      </c>
      <c r="E3" s="1">
        <v>5</v>
      </c>
      <c r="F3" s="1">
        <v>17</v>
      </c>
      <c r="G3" s="1">
        <v>25</v>
      </c>
      <c r="J3" s="2">
        <v>2</v>
      </c>
      <c r="K3" s="1" t="e">
        <f>HLOOKUP(K$1,$E3:$G3,1,FALSE)</f>
        <v>#N/A</v>
      </c>
      <c r="L3" s="1" t="e">
        <f t="shared" ref="L3:AP11" si="1">HLOOKUP(L$1,$E3:$G3,1,FALSE)</f>
        <v>#N/A</v>
      </c>
      <c r="M3" s="1" t="e">
        <f t="shared" si="1"/>
        <v>#N/A</v>
      </c>
      <c r="N3" s="1" t="e">
        <f t="shared" si="1"/>
        <v>#N/A</v>
      </c>
      <c r="O3" s="1">
        <f t="shared" si="1"/>
        <v>5</v>
      </c>
      <c r="P3" s="1" t="e">
        <f t="shared" si="1"/>
        <v>#N/A</v>
      </c>
      <c r="Q3" s="1" t="e">
        <f t="shared" si="1"/>
        <v>#N/A</v>
      </c>
      <c r="R3" s="1" t="e">
        <f t="shared" si="1"/>
        <v>#N/A</v>
      </c>
      <c r="S3" s="1" t="e">
        <f t="shared" si="1"/>
        <v>#N/A</v>
      </c>
      <c r="T3" s="1" t="e">
        <f t="shared" si="1"/>
        <v>#N/A</v>
      </c>
      <c r="U3" s="1" t="e">
        <f t="shared" si="1"/>
        <v>#N/A</v>
      </c>
      <c r="V3" s="1" t="e">
        <f t="shared" si="1"/>
        <v>#N/A</v>
      </c>
      <c r="W3" s="1" t="e">
        <f t="shared" si="1"/>
        <v>#N/A</v>
      </c>
      <c r="X3" s="1" t="e">
        <f t="shared" si="1"/>
        <v>#N/A</v>
      </c>
      <c r="Y3" s="1" t="e">
        <f t="shared" si="1"/>
        <v>#N/A</v>
      </c>
      <c r="Z3" s="1" t="e">
        <f t="shared" si="1"/>
        <v>#N/A</v>
      </c>
      <c r="AA3" s="1">
        <f t="shared" si="1"/>
        <v>17</v>
      </c>
      <c r="AB3" s="1" t="e">
        <f t="shared" si="1"/>
        <v>#N/A</v>
      </c>
      <c r="AC3" s="1" t="e">
        <f t="shared" si="1"/>
        <v>#N/A</v>
      </c>
      <c r="AD3" s="1" t="e">
        <f t="shared" si="1"/>
        <v>#N/A</v>
      </c>
      <c r="AE3" s="1" t="e">
        <f t="shared" si="1"/>
        <v>#N/A</v>
      </c>
      <c r="AF3" s="1" t="e">
        <f t="shared" si="1"/>
        <v>#N/A</v>
      </c>
      <c r="AG3" s="1" t="e">
        <f t="shared" si="1"/>
        <v>#N/A</v>
      </c>
      <c r="AH3" s="1" t="e">
        <f t="shared" si="1"/>
        <v>#N/A</v>
      </c>
      <c r="AI3" s="1">
        <f t="shared" si="1"/>
        <v>25</v>
      </c>
      <c r="AJ3" s="1" t="e">
        <f t="shared" si="1"/>
        <v>#N/A</v>
      </c>
      <c r="AK3" s="1" t="e">
        <f t="shared" si="1"/>
        <v>#N/A</v>
      </c>
      <c r="AL3" s="1" t="e">
        <f t="shared" si="1"/>
        <v>#N/A</v>
      </c>
      <c r="AM3" s="1" t="e">
        <f t="shared" si="1"/>
        <v>#N/A</v>
      </c>
      <c r="AN3" s="1" t="e">
        <f t="shared" si="1"/>
        <v>#N/A</v>
      </c>
      <c r="AO3" s="1" t="e">
        <f t="shared" si="1"/>
        <v>#N/A</v>
      </c>
      <c r="AP3" s="1" t="e">
        <f t="shared" si="1"/>
        <v>#N/A</v>
      </c>
    </row>
    <row r="4" spans="4:42" ht="43.2" customHeight="1" x14ac:dyDescent="0.3">
      <c r="D4" s="1">
        <v>3</v>
      </c>
      <c r="E4" s="1">
        <v>6</v>
      </c>
      <c r="F4" s="1">
        <v>9</v>
      </c>
      <c r="G4" s="1">
        <v>10</v>
      </c>
      <c r="J4" s="2">
        <v>3</v>
      </c>
      <c r="K4" s="1" t="e">
        <f t="shared" ref="K4:Z33" si="2">HLOOKUP(K$1,$E4:$G4,1,FALSE)</f>
        <v>#N/A</v>
      </c>
      <c r="L4" s="1" t="e">
        <f t="shared" si="2"/>
        <v>#N/A</v>
      </c>
      <c r="M4" s="1" t="e">
        <f t="shared" si="2"/>
        <v>#N/A</v>
      </c>
      <c r="N4" s="1" t="e">
        <f t="shared" si="2"/>
        <v>#N/A</v>
      </c>
      <c r="O4" s="1" t="e">
        <f t="shared" si="2"/>
        <v>#N/A</v>
      </c>
      <c r="P4" s="1">
        <f t="shared" si="2"/>
        <v>6</v>
      </c>
      <c r="Q4" s="1" t="e">
        <f t="shared" si="2"/>
        <v>#N/A</v>
      </c>
      <c r="R4" s="1" t="e">
        <f t="shared" si="2"/>
        <v>#N/A</v>
      </c>
      <c r="S4" s="1">
        <f t="shared" si="2"/>
        <v>9</v>
      </c>
      <c r="T4" s="1">
        <f t="shared" si="2"/>
        <v>10</v>
      </c>
      <c r="U4" s="1" t="e">
        <f t="shared" si="2"/>
        <v>#N/A</v>
      </c>
      <c r="V4" s="1" t="e">
        <f t="shared" si="2"/>
        <v>#N/A</v>
      </c>
      <c r="W4" s="1" t="e">
        <f t="shared" si="2"/>
        <v>#N/A</v>
      </c>
      <c r="X4" s="1" t="e">
        <f t="shared" si="2"/>
        <v>#N/A</v>
      </c>
      <c r="Y4" s="1" t="e">
        <f t="shared" si="2"/>
        <v>#N/A</v>
      </c>
      <c r="Z4" s="1" t="e">
        <f t="shared" si="2"/>
        <v>#N/A</v>
      </c>
      <c r="AA4" s="1" t="e">
        <f t="shared" si="1"/>
        <v>#N/A</v>
      </c>
      <c r="AB4" s="1" t="e">
        <f t="shared" si="1"/>
        <v>#N/A</v>
      </c>
      <c r="AC4" s="1" t="e">
        <f t="shared" si="1"/>
        <v>#N/A</v>
      </c>
      <c r="AD4" s="1" t="e">
        <f t="shared" si="1"/>
        <v>#N/A</v>
      </c>
      <c r="AE4" s="1" t="e">
        <f t="shared" si="1"/>
        <v>#N/A</v>
      </c>
      <c r="AF4" s="1" t="e">
        <f t="shared" si="1"/>
        <v>#N/A</v>
      </c>
      <c r="AG4" s="1" t="e">
        <f t="shared" si="1"/>
        <v>#N/A</v>
      </c>
      <c r="AH4" s="1" t="e">
        <f t="shared" si="1"/>
        <v>#N/A</v>
      </c>
      <c r="AI4" s="1" t="e">
        <f t="shared" si="1"/>
        <v>#N/A</v>
      </c>
      <c r="AJ4" s="1" t="e">
        <f t="shared" si="1"/>
        <v>#N/A</v>
      </c>
      <c r="AK4" s="1" t="e">
        <f t="shared" si="1"/>
        <v>#N/A</v>
      </c>
      <c r="AL4" s="1" t="e">
        <f t="shared" si="1"/>
        <v>#N/A</v>
      </c>
      <c r="AM4" s="1" t="e">
        <f t="shared" si="1"/>
        <v>#N/A</v>
      </c>
      <c r="AN4" s="1" t="e">
        <f t="shared" si="1"/>
        <v>#N/A</v>
      </c>
      <c r="AO4" s="1" t="e">
        <f t="shared" si="1"/>
        <v>#N/A</v>
      </c>
      <c r="AP4" s="1" t="e">
        <f t="shared" si="1"/>
        <v>#N/A</v>
      </c>
    </row>
    <row r="5" spans="4:42" ht="43.2" customHeight="1" x14ac:dyDescent="0.3">
      <c r="D5" s="1">
        <v>4</v>
      </c>
      <c r="E5" s="1">
        <v>17</v>
      </c>
      <c r="J5" s="2">
        <v>4</v>
      </c>
      <c r="K5" s="1" t="e">
        <f t="shared" si="2"/>
        <v>#N/A</v>
      </c>
      <c r="L5" s="1" t="e">
        <f t="shared" si="1"/>
        <v>#N/A</v>
      </c>
      <c r="M5" s="1" t="e">
        <f t="shared" si="1"/>
        <v>#N/A</v>
      </c>
      <c r="N5" s="1" t="e">
        <f t="shared" si="1"/>
        <v>#N/A</v>
      </c>
      <c r="O5" s="1" t="e">
        <f t="shared" si="1"/>
        <v>#N/A</v>
      </c>
      <c r="P5" s="1" t="e">
        <f t="shared" si="1"/>
        <v>#N/A</v>
      </c>
      <c r="Q5" s="1" t="e">
        <f t="shared" si="1"/>
        <v>#N/A</v>
      </c>
      <c r="R5" s="1" t="e">
        <f t="shared" si="1"/>
        <v>#N/A</v>
      </c>
      <c r="S5" s="1" t="e">
        <f t="shared" si="1"/>
        <v>#N/A</v>
      </c>
      <c r="T5" s="1" t="e">
        <f t="shared" si="1"/>
        <v>#N/A</v>
      </c>
      <c r="U5" s="1" t="e">
        <f t="shared" si="1"/>
        <v>#N/A</v>
      </c>
      <c r="V5" s="1" t="e">
        <f t="shared" si="1"/>
        <v>#N/A</v>
      </c>
      <c r="W5" s="1" t="e">
        <f t="shared" si="1"/>
        <v>#N/A</v>
      </c>
      <c r="X5" s="1" t="e">
        <f t="shared" si="1"/>
        <v>#N/A</v>
      </c>
      <c r="Y5" s="1" t="e">
        <f t="shared" si="1"/>
        <v>#N/A</v>
      </c>
      <c r="Z5" s="1" t="e">
        <f t="shared" si="1"/>
        <v>#N/A</v>
      </c>
      <c r="AA5" s="1">
        <f t="shared" si="1"/>
        <v>17</v>
      </c>
      <c r="AB5" s="1" t="e">
        <f t="shared" si="1"/>
        <v>#N/A</v>
      </c>
      <c r="AC5" s="1" t="e">
        <f t="shared" si="1"/>
        <v>#N/A</v>
      </c>
      <c r="AD5" s="1" t="e">
        <f t="shared" si="1"/>
        <v>#N/A</v>
      </c>
      <c r="AE5" s="1" t="e">
        <f t="shared" si="1"/>
        <v>#N/A</v>
      </c>
      <c r="AF5" s="1" t="e">
        <f t="shared" si="1"/>
        <v>#N/A</v>
      </c>
      <c r="AG5" s="1" t="e">
        <f t="shared" si="1"/>
        <v>#N/A</v>
      </c>
      <c r="AH5" s="1" t="e">
        <f t="shared" si="1"/>
        <v>#N/A</v>
      </c>
      <c r="AI5" s="1" t="e">
        <f t="shared" si="1"/>
        <v>#N/A</v>
      </c>
      <c r="AJ5" s="1" t="e">
        <f t="shared" si="1"/>
        <v>#N/A</v>
      </c>
      <c r="AK5" s="1" t="e">
        <f t="shared" si="1"/>
        <v>#N/A</v>
      </c>
      <c r="AL5" s="1" t="e">
        <f t="shared" si="1"/>
        <v>#N/A</v>
      </c>
      <c r="AM5" s="1" t="e">
        <f t="shared" si="1"/>
        <v>#N/A</v>
      </c>
      <c r="AN5" s="1" t="e">
        <f t="shared" si="1"/>
        <v>#N/A</v>
      </c>
      <c r="AO5" s="1" t="e">
        <f t="shared" si="1"/>
        <v>#N/A</v>
      </c>
      <c r="AP5" s="1" t="e">
        <f t="shared" si="1"/>
        <v>#N/A</v>
      </c>
    </row>
    <row r="6" spans="4:42" ht="43.2" customHeight="1" x14ac:dyDescent="0.3">
      <c r="D6" s="1">
        <v>5</v>
      </c>
      <c r="E6" s="1">
        <v>7</v>
      </c>
      <c r="F6" s="1">
        <v>29</v>
      </c>
      <c r="J6" s="2">
        <v>5</v>
      </c>
      <c r="K6" s="1" t="e">
        <f t="shared" si="2"/>
        <v>#N/A</v>
      </c>
      <c r="L6" s="1" t="e">
        <f t="shared" si="1"/>
        <v>#N/A</v>
      </c>
      <c r="M6" s="1" t="e">
        <f t="shared" si="1"/>
        <v>#N/A</v>
      </c>
      <c r="N6" s="1" t="e">
        <f t="shared" si="1"/>
        <v>#N/A</v>
      </c>
      <c r="O6" s="1" t="e">
        <f t="shared" si="1"/>
        <v>#N/A</v>
      </c>
      <c r="P6" s="1" t="e">
        <f t="shared" si="1"/>
        <v>#N/A</v>
      </c>
      <c r="Q6" s="1">
        <f t="shared" si="1"/>
        <v>7</v>
      </c>
      <c r="R6" s="1" t="e">
        <f t="shared" si="1"/>
        <v>#N/A</v>
      </c>
      <c r="S6" s="1" t="e">
        <f t="shared" si="1"/>
        <v>#N/A</v>
      </c>
      <c r="T6" s="1" t="e">
        <f t="shared" si="1"/>
        <v>#N/A</v>
      </c>
      <c r="U6" s="1" t="e">
        <f t="shared" si="1"/>
        <v>#N/A</v>
      </c>
      <c r="V6" s="1" t="e">
        <f t="shared" si="1"/>
        <v>#N/A</v>
      </c>
      <c r="W6" s="1" t="e">
        <f t="shared" si="1"/>
        <v>#N/A</v>
      </c>
      <c r="X6" s="1" t="e">
        <f t="shared" si="1"/>
        <v>#N/A</v>
      </c>
      <c r="Y6" s="1" t="e">
        <f t="shared" si="1"/>
        <v>#N/A</v>
      </c>
      <c r="Z6" s="1" t="e">
        <f t="shared" si="1"/>
        <v>#N/A</v>
      </c>
      <c r="AA6" s="1" t="e">
        <f t="shared" si="1"/>
        <v>#N/A</v>
      </c>
      <c r="AB6" s="1" t="e">
        <f t="shared" si="1"/>
        <v>#N/A</v>
      </c>
      <c r="AC6" s="1" t="e">
        <f t="shared" si="1"/>
        <v>#N/A</v>
      </c>
      <c r="AD6" s="1" t="e">
        <f t="shared" si="1"/>
        <v>#N/A</v>
      </c>
      <c r="AE6" s="1" t="e">
        <f t="shared" si="1"/>
        <v>#N/A</v>
      </c>
      <c r="AF6" s="1" t="e">
        <f t="shared" si="1"/>
        <v>#N/A</v>
      </c>
      <c r="AG6" s="1" t="e">
        <f t="shared" si="1"/>
        <v>#N/A</v>
      </c>
      <c r="AH6" s="1" t="e">
        <f t="shared" si="1"/>
        <v>#N/A</v>
      </c>
      <c r="AI6" s="1" t="e">
        <f t="shared" si="1"/>
        <v>#N/A</v>
      </c>
      <c r="AJ6" s="1" t="e">
        <f t="shared" si="1"/>
        <v>#N/A</v>
      </c>
      <c r="AK6" s="1" t="e">
        <f t="shared" si="1"/>
        <v>#N/A</v>
      </c>
      <c r="AL6" s="1" t="e">
        <f t="shared" si="1"/>
        <v>#N/A</v>
      </c>
      <c r="AM6" s="1">
        <f t="shared" si="1"/>
        <v>29</v>
      </c>
      <c r="AN6" s="1" t="e">
        <f t="shared" si="1"/>
        <v>#N/A</v>
      </c>
      <c r="AO6" s="1" t="e">
        <f t="shared" si="1"/>
        <v>#N/A</v>
      </c>
      <c r="AP6" s="1" t="e">
        <f t="shared" si="1"/>
        <v>#N/A</v>
      </c>
    </row>
    <row r="7" spans="4:42" ht="43.2" customHeight="1" x14ac:dyDescent="0.3">
      <c r="D7" s="1">
        <v>6</v>
      </c>
      <c r="E7" s="1">
        <v>8</v>
      </c>
      <c r="F7" s="1">
        <v>11</v>
      </c>
      <c r="G7" s="1">
        <v>15</v>
      </c>
      <c r="J7" s="2">
        <v>6</v>
      </c>
      <c r="K7" s="1" t="e">
        <f t="shared" si="2"/>
        <v>#N/A</v>
      </c>
      <c r="L7" s="1" t="e">
        <f t="shared" si="1"/>
        <v>#N/A</v>
      </c>
      <c r="M7" s="1" t="e">
        <f t="shared" si="1"/>
        <v>#N/A</v>
      </c>
      <c r="N7" s="1" t="e">
        <f t="shared" si="1"/>
        <v>#N/A</v>
      </c>
      <c r="O7" s="1" t="e">
        <f t="shared" si="1"/>
        <v>#N/A</v>
      </c>
      <c r="P7" s="1" t="e">
        <f t="shared" si="1"/>
        <v>#N/A</v>
      </c>
      <c r="Q7" s="1" t="e">
        <f t="shared" si="1"/>
        <v>#N/A</v>
      </c>
      <c r="R7" s="1">
        <f t="shared" si="1"/>
        <v>8</v>
      </c>
      <c r="S7" s="1" t="e">
        <f t="shared" si="1"/>
        <v>#N/A</v>
      </c>
      <c r="T7" s="1" t="e">
        <f t="shared" si="1"/>
        <v>#N/A</v>
      </c>
      <c r="U7" s="1">
        <f t="shared" si="1"/>
        <v>11</v>
      </c>
      <c r="V7" s="1" t="e">
        <f t="shared" si="1"/>
        <v>#N/A</v>
      </c>
      <c r="W7" s="1" t="e">
        <f t="shared" si="1"/>
        <v>#N/A</v>
      </c>
      <c r="X7" s="1" t="e">
        <f t="shared" si="1"/>
        <v>#N/A</v>
      </c>
      <c r="Y7" s="1">
        <f t="shared" si="1"/>
        <v>15</v>
      </c>
      <c r="Z7" s="1" t="e">
        <f t="shared" si="1"/>
        <v>#N/A</v>
      </c>
      <c r="AA7" s="1" t="e">
        <f t="shared" si="1"/>
        <v>#N/A</v>
      </c>
      <c r="AB7" s="1" t="e">
        <f t="shared" si="1"/>
        <v>#N/A</v>
      </c>
      <c r="AC7" s="1" t="e">
        <f t="shared" si="1"/>
        <v>#N/A</v>
      </c>
      <c r="AD7" s="1" t="e">
        <f t="shared" si="1"/>
        <v>#N/A</v>
      </c>
      <c r="AE7" s="1" t="e">
        <f t="shared" si="1"/>
        <v>#N/A</v>
      </c>
      <c r="AF7" s="1" t="e">
        <f t="shared" si="1"/>
        <v>#N/A</v>
      </c>
      <c r="AG7" s="1" t="e">
        <f t="shared" si="1"/>
        <v>#N/A</v>
      </c>
      <c r="AH7" s="1" t="e">
        <f t="shared" si="1"/>
        <v>#N/A</v>
      </c>
      <c r="AI7" s="1" t="e">
        <f t="shared" si="1"/>
        <v>#N/A</v>
      </c>
      <c r="AJ7" s="1" t="e">
        <f t="shared" si="1"/>
        <v>#N/A</v>
      </c>
      <c r="AK7" s="1" t="e">
        <f t="shared" si="1"/>
        <v>#N/A</v>
      </c>
      <c r="AL7" s="1" t="e">
        <f t="shared" si="1"/>
        <v>#N/A</v>
      </c>
      <c r="AM7" s="1" t="e">
        <f t="shared" si="1"/>
        <v>#N/A</v>
      </c>
      <c r="AN7" s="1" t="e">
        <f t="shared" si="1"/>
        <v>#N/A</v>
      </c>
      <c r="AO7" s="1" t="e">
        <f t="shared" si="1"/>
        <v>#N/A</v>
      </c>
      <c r="AP7" s="1" t="e">
        <f t="shared" si="1"/>
        <v>#N/A</v>
      </c>
    </row>
    <row r="8" spans="4:42" ht="43.2" customHeight="1" x14ac:dyDescent="0.3">
      <c r="D8" s="1">
        <v>7</v>
      </c>
      <c r="E8" s="1">
        <v>13</v>
      </c>
      <c r="J8" s="2">
        <v>7</v>
      </c>
      <c r="K8" s="1" t="e">
        <f t="shared" si="2"/>
        <v>#N/A</v>
      </c>
      <c r="L8" s="1" t="e">
        <f t="shared" si="1"/>
        <v>#N/A</v>
      </c>
      <c r="M8" s="1" t="e">
        <f t="shared" si="1"/>
        <v>#N/A</v>
      </c>
      <c r="N8" s="1" t="e">
        <f t="shared" si="1"/>
        <v>#N/A</v>
      </c>
      <c r="O8" s="1" t="e">
        <f t="shared" si="1"/>
        <v>#N/A</v>
      </c>
      <c r="P8" s="1" t="e">
        <f t="shared" si="1"/>
        <v>#N/A</v>
      </c>
      <c r="Q8" s="1" t="e">
        <f t="shared" si="1"/>
        <v>#N/A</v>
      </c>
      <c r="R8" s="1" t="e">
        <f t="shared" si="1"/>
        <v>#N/A</v>
      </c>
      <c r="S8" s="1" t="e">
        <f t="shared" si="1"/>
        <v>#N/A</v>
      </c>
      <c r="T8" s="1" t="e">
        <f t="shared" si="1"/>
        <v>#N/A</v>
      </c>
      <c r="U8" s="1" t="e">
        <f t="shared" si="1"/>
        <v>#N/A</v>
      </c>
      <c r="V8" s="1" t="e">
        <f t="shared" si="1"/>
        <v>#N/A</v>
      </c>
      <c r="W8" s="1">
        <f t="shared" si="1"/>
        <v>13</v>
      </c>
      <c r="X8" s="1" t="e">
        <f t="shared" si="1"/>
        <v>#N/A</v>
      </c>
      <c r="Y8" s="1" t="e">
        <f t="shared" si="1"/>
        <v>#N/A</v>
      </c>
      <c r="Z8" s="1" t="e">
        <f t="shared" si="1"/>
        <v>#N/A</v>
      </c>
      <c r="AA8" s="1" t="e">
        <f t="shared" si="1"/>
        <v>#N/A</v>
      </c>
      <c r="AB8" s="1" t="e">
        <f t="shared" si="1"/>
        <v>#N/A</v>
      </c>
      <c r="AC8" s="1" t="e">
        <f t="shared" si="1"/>
        <v>#N/A</v>
      </c>
      <c r="AD8" s="1" t="e">
        <f t="shared" si="1"/>
        <v>#N/A</v>
      </c>
      <c r="AE8" s="1" t="e">
        <f t="shared" si="1"/>
        <v>#N/A</v>
      </c>
      <c r="AF8" s="1" t="e">
        <f t="shared" si="1"/>
        <v>#N/A</v>
      </c>
      <c r="AG8" s="1" t="e">
        <f t="shared" si="1"/>
        <v>#N/A</v>
      </c>
      <c r="AH8" s="1" t="e">
        <f t="shared" si="1"/>
        <v>#N/A</v>
      </c>
      <c r="AI8" s="1" t="e">
        <f t="shared" si="1"/>
        <v>#N/A</v>
      </c>
      <c r="AJ8" s="1" t="e">
        <f t="shared" si="1"/>
        <v>#N/A</v>
      </c>
      <c r="AK8" s="1" t="e">
        <f t="shared" si="1"/>
        <v>#N/A</v>
      </c>
      <c r="AL8" s="1" t="e">
        <f t="shared" si="1"/>
        <v>#N/A</v>
      </c>
      <c r="AM8" s="1" t="e">
        <f t="shared" si="1"/>
        <v>#N/A</v>
      </c>
      <c r="AN8" s="1" t="e">
        <f t="shared" si="1"/>
        <v>#N/A</v>
      </c>
      <c r="AO8" s="1" t="e">
        <f t="shared" si="1"/>
        <v>#N/A</v>
      </c>
      <c r="AP8" s="1" t="e">
        <f t="shared" si="1"/>
        <v>#N/A</v>
      </c>
    </row>
    <row r="9" spans="4:42" ht="43.2" customHeight="1" x14ac:dyDescent="0.3">
      <c r="D9" s="1">
        <v>8</v>
      </c>
      <c r="E9" s="1">
        <v>27</v>
      </c>
      <c r="J9" s="2">
        <v>8</v>
      </c>
      <c r="K9" s="1" t="e">
        <f t="shared" si="2"/>
        <v>#N/A</v>
      </c>
      <c r="L9" s="1" t="e">
        <f t="shared" si="1"/>
        <v>#N/A</v>
      </c>
      <c r="M9" s="1" t="e">
        <f t="shared" si="1"/>
        <v>#N/A</v>
      </c>
      <c r="N9" s="1" t="e">
        <f t="shared" si="1"/>
        <v>#N/A</v>
      </c>
      <c r="O9" s="1" t="e">
        <f t="shared" si="1"/>
        <v>#N/A</v>
      </c>
      <c r="P9" s="1" t="e">
        <f t="shared" si="1"/>
        <v>#N/A</v>
      </c>
      <c r="Q9" s="1" t="e">
        <f t="shared" si="1"/>
        <v>#N/A</v>
      </c>
      <c r="R9" s="1" t="e">
        <f t="shared" si="1"/>
        <v>#N/A</v>
      </c>
      <c r="S9" s="1" t="e">
        <f t="shared" si="1"/>
        <v>#N/A</v>
      </c>
      <c r="T9" s="1" t="e">
        <f t="shared" si="1"/>
        <v>#N/A</v>
      </c>
      <c r="U9" s="1" t="e">
        <f t="shared" si="1"/>
        <v>#N/A</v>
      </c>
      <c r="V9" s="1" t="e">
        <f t="shared" si="1"/>
        <v>#N/A</v>
      </c>
      <c r="W9" s="1" t="e">
        <f t="shared" si="1"/>
        <v>#N/A</v>
      </c>
      <c r="X9" s="1" t="e">
        <f t="shared" si="1"/>
        <v>#N/A</v>
      </c>
      <c r="Y9" s="1" t="e">
        <f t="shared" si="1"/>
        <v>#N/A</v>
      </c>
      <c r="Z9" s="1" t="e">
        <f t="shared" si="1"/>
        <v>#N/A</v>
      </c>
      <c r="AA9" s="1" t="e">
        <f t="shared" si="1"/>
        <v>#N/A</v>
      </c>
      <c r="AB9" s="1" t="e">
        <f t="shared" si="1"/>
        <v>#N/A</v>
      </c>
      <c r="AC9" s="1" t="e">
        <f t="shared" si="1"/>
        <v>#N/A</v>
      </c>
      <c r="AD9" s="1" t="e">
        <f t="shared" si="1"/>
        <v>#N/A</v>
      </c>
      <c r="AE9" s="1" t="e">
        <f t="shared" si="1"/>
        <v>#N/A</v>
      </c>
      <c r="AF9" s="1" t="e">
        <f t="shared" si="1"/>
        <v>#N/A</v>
      </c>
      <c r="AG9" s="1" t="e">
        <f t="shared" si="1"/>
        <v>#N/A</v>
      </c>
      <c r="AH9" s="1" t="e">
        <f t="shared" si="1"/>
        <v>#N/A</v>
      </c>
      <c r="AI9" s="1" t="e">
        <f t="shared" si="1"/>
        <v>#N/A</v>
      </c>
      <c r="AJ9" s="1" t="e">
        <f t="shared" si="1"/>
        <v>#N/A</v>
      </c>
      <c r="AK9" s="1">
        <f t="shared" si="1"/>
        <v>27</v>
      </c>
      <c r="AL9" s="1" t="e">
        <f t="shared" si="1"/>
        <v>#N/A</v>
      </c>
      <c r="AM9" s="1" t="e">
        <f t="shared" si="1"/>
        <v>#N/A</v>
      </c>
      <c r="AN9" s="1" t="e">
        <f t="shared" si="1"/>
        <v>#N/A</v>
      </c>
      <c r="AO9" s="1" t="e">
        <f t="shared" si="1"/>
        <v>#N/A</v>
      </c>
      <c r="AP9" s="1" t="e">
        <f t="shared" si="1"/>
        <v>#N/A</v>
      </c>
    </row>
    <row r="10" spans="4:42" ht="43.2" customHeight="1" x14ac:dyDescent="0.3">
      <c r="D10" s="1">
        <v>9</v>
      </c>
      <c r="E10" s="1">
        <v>18</v>
      </c>
      <c r="F10" s="1">
        <v>21</v>
      </c>
      <c r="G10" s="1">
        <v>30</v>
      </c>
      <c r="J10" s="2">
        <v>9</v>
      </c>
      <c r="K10" s="1" t="e">
        <f t="shared" si="2"/>
        <v>#N/A</v>
      </c>
      <c r="L10" s="1" t="e">
        <f t="shared" si="1"/>
        <v>#N/A</v>
      </c>
      <c r="M10" s="1" t="e">
        <f t="shared" si="1"/>
        <v>#N/A</v>
      </c>
      <c r="N10" s="1" t="e">
        <f t="shared" si="1"/>
        <v>#N/A</v>
      </c>
      <c r="O10" s="1" t="e">
        <f t="shared" si="1"/>
        <v>#N/A</v>
      </c>
      <c r="P10" s="1" t="e">
        <f t="shared" si="1"/>
        <v>#N/A</v>
      </c>
      <c r="Q10" s="1" t="e">
        <f t="shared" si="1"/>
        <v>#N/A</v>
      </c>
      <c r="R10" s="1" t="e">
        <f t="shared" si="1"/>
        <v>#N/A</v>
      </c>
      <c r="S10" s="1" t="e">
        <f t="shared" si="1"/>
        <v>#N/A</v>
      </c>
      <c r="T10" s="1" t="e">
        <f t="shared" si="1"/>
        <v>#N/A</v>
      </c>
      <c r="U10" s="1" t="e">
        <f t="shared" si="1"/>
        <v>#N/A</v>
      </c>
      <c r="V10" s="1" t="e">
        <f t="shared" si="1"/>
        <v>#N/A</v>
      </c>
      <c r="W10" s="1" t="e">
        <f t="shared" si="1"/>
        <v>#N/A</v>
      </c>
      <c r="X10" s="1" t="e">
        <f t="shared" si="1"/>
        <v>#N/A</v>
      </c>
      <c r="Y10" s="1" t="e">
        <f t="shared" si="1"/>
        <v>#N/A</v>
      </c>
      <c r="Z10" s="1" t="e">
        <f t="shared" si="1"/>
        <v>#N/A</v>
      </c>
      <c r="AA10" s="1" t="e">
        <f t="shared" si="1"/>
        <v>#N/A</v>
      </c>
      <c r="AB10" s="1">
        <f t="shared" si="1"/>
        <v>18</v>
      </c>
      <c r="AC10" s="1" t="e">
        <f t="shared" si="1"/>
        <v>#N/A</v>
      </c>
      <c r="AD10" s="1" t="e">
        <f t="shared" si="1"/>
        <v>#N/A</v>
      </c>
      <c r="AE10" s="1">
        <f t="shared" si="1"/>
        <v>21</v>
      </c>
      <c r="AF10" s="1" t="e">
        <f t="shared" si="1"/>
        <v>#N/A</v>
      </c>
      <c r="AG10" s="1" t="e">
        <f t="shared" si="1"/>
        <v>#N/A</v>
      </c>
      <c r="AH10" s="1" t="e">
        <f t="shared" si="1"/>
        <v>#N/A</v>
      </c>
      <c r="AI10" s="1" t="e">
        <f t="shared" si="1"/>
        <v>#N/A</v>
      </c>
      <c r="AJ10" s="1" t="e">
        <f t="shared" si="1"/>
        <v>#N/A</v>
      </c>
      <c r="AK10" s="1" t="e">
        <f t="shared" si="1"/>
        <v>#N/A</v>
      </c>
      <c r="AL10" s="1" t="e">
        <f t="shared" si="1"/>
        <v>#N/A</v>
      </c>
      <c r="AM10" s="1" t="e">
        <f t="shared" si="1"/>
        <v>#N/A</v>
      </c>
      <c r="AN10" s="1">
        <f t="shared" si="1"/>
        <v>30</v>
      </c>
      <c r="AO10" s="1" t="e">
        <f t="shared" si="1"/>
        <v>#N/A</v>
      </c>
      <c r="AP10" s="1" t="e">
        <f t="shared" si="1"/>
        <v>#N/A</v>
      </c>
    </row>
    <row r="11" spans="4:42" ht="43.2" customHeight="1" x14ac:dyDescent="0.3">
      <c r="D11" s="1">
        <v>10</v>
      </c>
      <c r="E11" s="1">
        <v>12</v>
      </c>
      <c r="F11" s="1">
        <v>14</v>
      </c>
      <c r="G11" s="1">
        <v>19</v>
      </c>
      <c r="J11" s="2">
        <v>10</v>
      </c>
      <c r="K11" s="1" t="e">
        <f t="shared" si="2"/>
        <v>#N/A</v>
      </c>
      <c r="L11" s="1" t="e">
        <f t="shared" si="1"/>
        <v>#N/A</v>
      </c>
      <c r="M11" s="1" t="e">
        <f t="shared" si="1"/>
        <v>#N/A</v>
      </c>
      <c r="N11" s="1" t="e">
        <f t="shared" si="1"/>
        <v>#N/A</v>
      </c>
      <c r="O11" s="1" t="e">
        <f t="shared" si="1"/>
        <v>#N/A</v>
      </c>
      <c r="P11" s="1" t="e">
        <f t="shared" si="1"/>
        <v>#N/A</v>
      </c>
      <c r="Q11" s="1" t="e">
        <f t="shared" si="1"/>
        <v>#N/A</v>
      </c>
      <c r="R11" s="1" t="e">
        <f t="shared" si="1"/>
        <v>#N/A</v>
      </c>
      <c r="S11" s="1" t="e">
        <f t="shared" si="1"/>
        <v>#N/A</v>
      </c>
      <c r="T11" s="1" t="e">
        <f t="shared" si="1"/>
        <v>#N/A</v>
      </c>
      <c r="U11" s="1" t="e">
        <f t="shared" si="1"/>
        <v>#N/A</v>
      </c>
      <c r="V11" s="1">
        <f t="shared" si="1"/>
        <v>12</v>
      </c>
      <c r="W11" s="1" t="e">
        <f t="shared" si="1"/>
        <v>#N/A</v>
      </c>
      <c r="X11" s="1">
        <f t="shared" si="1"/>
        <v>14</v>
      </c>
      <c r="Y11" s="1" t="e">
        <f t="shared" si="1"/>
        <v>#N/A</v>
      </c>
      <c r="Z11" s="1" t="e">
        <f t="shared" si="1"/>
        <v>#N/A</v>
      </c>
      <c r="AA11" s="1" t="e">
        <f t="shared" si="1"/>
        <v>#N/A</v>
      </c>
      <c r="AB11" s="1" t="e">
        <f t="shared" si="1"/>
        <v>#N/A</v>
      </c>
      <c r="AC11" s="1">
        <f t="shared" si="1"/>
        <v>19</v>
      </c>
      <c r="AD11" s="1" t="e">
        <f t="shared" si="1"/>
        <v>#N/A</v>
      </c>
      <c r="AE11" s="1" t="e">
        <f t="shared" si="1"/>
        <v>#N/A</v>
      </c>
      <c r="AF11" s="1" t="e">
        <f t="shared" si="1"/>
        <v>#N/A</v>
      </c>
      <c r="AG11" s="1" t="e">
        <f t="shared" si="1"/>
        <v>#N/A</v>
      </c>
      <c r="AH11" s="1" t="e">
        <f t="shared" ref="L11:AP19" si="3">HLOOKUP(AH$1,$E11:$G11,1,FALSE)</f>
        <v>#N/A</v>
      </c>
      <c r="AI11" s="1" t="e">
        <f t="shared" si="3"/>
        <v>#N/A</v>
      </c>
      <c r="AJ11" s="1" t="e">
        <f t="shared" si="3"/>
        <v>#N/A</v>
      </c>
      <c r="AK11" s="1" t="e">
        <f t="shared" si="3"/>
        <v>#N/A</v>
      </c>
      <c r="AL11" s="1" t="e">
        <f t="shared" si="3"/>
        <v>#N/A</v>
      </c>
      <c r="AM11" s="1" t="e">
        <f t="shared" si="3"/>
        <v>#N/A</v>
      </c>
      <c r="AN11" s="1" t="e">
        <f t="shared" si="3"/>
        <v>#N/A</v>
      </c>
      <c r="AO11" s="1" t="e">
        <f t="shared" si="3"/>
        <v>#N/A</v>
      </c>
      <c r="AP11" s="1" t="e">
        <f t="shared" si="3"/>
        <v>#N/A</v>
      </c>
    </row>
    <row r="12" spans="4:42" ht="43.2" customHeight="1" x14ac:dyDescent="0.3">
      <c r="D12" s="1">
        <v>11</v>
      </c>
      <c r="E12" s="1">
        <v>22</v>
      </c>
      <c r="J12" s="2">
        <v>11</v>
      </c>
      <c r="K12" s="1" t="e">
        <f t="shared" si="2"/>
        <v>#N/A</v>
      </c>
      <c r="L12" s="1" t="e">
        <f t="shared" si="3"/>
        <v>#N/A</v>
      </c>
      <c r="M12" s="1" t="e">
        <f t="shared" si="3"/>
        <v>#N/A</v>
      </c>
      <c r="N12" s="1" t="e">
        <f t="shared" si="3"/>
        <v>#N/A</v>
      </c>
      <c r="O12" s="1" t="e">
        <f t="shared" si="3"/>
        <v>#N/A</v>
      </c>
      <c r="P12" s="1" t="e">
        <f t="shared" si="3"/>
        <v>#N/A</v>
      </c>
      <c r="Q12" s="1" t="e">
        <f t="shared" si="3"/>
        <v>#N/A</v>
      </c>
      <c r="R12" s="1" t="e">
        <f t="shared" si="3"/>
        <v>#N/A</v>
      </c>
      <c r="S12" s="1" t="e">
        <f t="shared" si="3"/>
        <v>#N/A</v>
      </c>
      <c r="T12" s="1" t="e">
        <f t="shared" si="3"/>
        <v>#N/A</v>
      </c>
      <c r="U12" s="1" t="e">
        <f t="shared" si="3"/>
        <v>#N/A</v>
      </c>
      <c r="V12" s="1" t="e">
        <f t="shared" si="3"/>
        <v>#N/A</v>
      </c>
      <c r="W12" s="1" t="e">
        <f t="shared" si="3"/>
        <v>#N/A</v>
      </c>
      <c r="X12" s="1" t="e">
        <f t="shared" si="3"/>
        <v>#N/A</v>
      </c>
      <c r="Y12" s="1" t="e">
        <f t="shared" si="3"/>
        <v>#N/A</v>
      </c>
      <c r="Z12" s="1" t="e">
        <f t="shared" si="3"/>
        <v>#N/A</v>
      </c>
      <c r="AA12" s="1" t="e">
        <f t="shared" si="3"/>
        <v>#N/A</v>
      </c>
      <c r="AB12" s="1" t="e">
        <f t="shared" si="3"/>
        <v>#N/A</v>
      </c>
      <c r="AC12" s="1" t="e">
        <f t="shared" si="3"/>
        <v>#N/A</v>
      </c>
      <c r="AD12" s="1" t="e">
        <f t="shared" si="3"/>
        <v>#N/A</v>
      </c>
      <c r="AE12" s="1" t="e">
        <f t="shared" si="3"/>
        <v>#N/A</v>
      </c>
      <c r="AF12" s="1">
        <f t="shared" si="3"/>
        <v>22</v>
      </c>
      <c r="AG12" s="1" t="e">
        <f t="shared" si="3"/>
        <v>#N/A</v>
      </c>
      <c r="AH12" s="1" t="e">
        <f t="shared" si="3"/>
        <v>#N/A</v>
      </c>
      <c r="AI12" s="1" t="e">
        <f t="shared" si="3"/>
        <v>#N/A</v>
      </c>
      <c r="AJ12" s="1" t="e">
        <f t="shared" si="3"/>
        <v>#N/A</v>
      </c>
      <c r="AK12" s="1" t="e">
        <f t="shared" si="3"/>
        <v>#N/A</v>
      </c>
      <c r="AL12" s="1" t="e">
        <f t="shared" si="3"/>
        <v>#N/A</v>
      </c>
      <c r="AM12" s="1" t="e">
        <f t="shared" si="3"/>
        <v>#N/A</v>
      </c>
      <c r="AN12" s="1" t="e">
        <f t="shared" si="3"/>
        <v>#N/A</v>
      </c>
      <c r="AO12" s="1" t="e">
        <f t="shared" si="3"/>
        <v>#N/A</v>
      </c>
      <c r="AP12" s="1" t="e">
        <f t="shared" si="3"/>
        <v>#N/A</v>
      </c>
    </row>
    <row r="13" spans="4:42" ht="43.2" customHeight="1" x14ac:dyDescent="0.3">
      <c r="D13" s="1">
        <v>12</v>
      </c>
      <c r="E13" s="1">
        <v>16</v>
      </c>
      <c r="F13" s="1">
        <v>22</v>
      </c>
      <c r="J13" s="2">
        <v>12</v>
      </c>
      <c r="K13" s="1" t="e">
        <f t="shared" si="2"/>
        <v>#N/A</v>
      </c>
      <c r="L13" s="1" t="e">
        <f t="shared" si="3"/>
        <v>#N/A</v>
      </c>
      <c r="M13" s="1" t="e">
        <f t="shared" si="3"/>
        <v>#N/A</v>
      </c>
      <c r="N13" s="1" t="e">
        <f t="shared" si="3"/>
        <v>#N/A</v>
      </c>
      <c r="O13" s="1" t="e">
        <f t="shared" si="3"/>
        <v>#N/A</v>
      </c>
      <c r="P13" s="1" t="e">
        <f t="shared" si="3"/>
        <v>#N/A</v>
      </c>
      <c r="Q13" s="1" t="e">
        <f t="shared" si="3"/>
        <v>#N/A</v>
      </c>
      <c r="R13" s="1" t="e">
        <f t="shared" si="3"/>
        <v>#N/A</v>
      </c>
      <c r="S13" s="1" t="e">
        <f t="shared" si="3"/>
        <v>#N/A</v>
      </c>
      <c r="T13" s="1" t="e">
        <f t="shared" si="3"/>
        <v>#N/A</v>
      </c>
      <c r="U13" s="1" t="e">
        <f t="shared" si="3"/>
        <v>#N/A</v>
      </c>
      <c r="V13" s="1" t="e">
        <f t="shared" si="3"/>
        <v>#N/A</v>
      </c>
      <c r="W13" s="1" t="e">
        <f t="shared" si="3"/>
        <v>#N/A</v>
      </c>
      <c r="X13" s="1" t="e">
        <f t="shared" si="3"/>
        <v>#N/A</v>
      </c>
      <c r="Y13" s="1" t="e">
        <f t="shared" si="3"/>
        <v>#N/A</v>
      </c>
      <c r="Z13" s="1">
        <f t="shared" si="3"/>
        <v>16</v>
      </c>
      <c r="AA13" s="1" t="e">
        <f t="shared" si="3"/>
        <v>#N/A</v>
      </c>
      <c r="AB13" s="1" t="e">
        <f t="shared" si="3"/>
        <v>#N/A</v>
      </c>
      <c r="AC13" s="1" t="e">
        <f t="shared" si="3"/>
        <v>#N/A</v>
      </c>
      <c r="AD13" s="1" t="e">
        <f t="shared" si="3"/>
        <v>#N/A</v>
      </c>
      <c r="AE13" s="1" t="e">
        <f t="shared" si="3"/>
        <v>#N/A</v>
      </c>
      <c r="AF13" s="1">
        <f t="shared" si="3"/>
        <v>22</v>
      </c>
      <c r="AG13" s="1" t="e">
        <f t="shared" si="3"/>
        <v>#N/A</v>
      </c>
      <c r="AH13" s="1" t="e">
        <f t="shared" si="3"/>
        <v>#N/A</v>
      </c>
      <c r="AI13" s="1" t="e">
        <f t="shared" si="3"/>
        <v>#N/A</v>
      </c>
      <c r="AJ13" s="1" t="e">
        <f t="shared" si="3"/>
        <v>#N/A</v>
      </c>
      <c r="AK13" s="1" t="e">
        <f t="shared" si="3"/>
        <v>#N/A</v>
      </c>
      <c r="AL13" s="1" t="e">
        <f t="shared" si="3"/>
        <v>#N/A</v>
      </c>
      <c r="AM13" s="1" t="e">
        <f t="shared" si="3"/>
        <v>#N/A</v>
      </c>
      <c r="AN13" s="1" t="e">
        <f t="shared" si="3"/>
        <v>#N/A</v>
      </c>
      <c r="AO13" s="1" t="e">
        <f t="shared" si="3"/>
        <v>#N/A</v>
      </c>
      <c r="AP13" s="1" t="e">
        <f t="shared" si="3"/>
        <v>#N/A</v>
      </c>
    </row>
    <row r="14" spans="4:42" ht="43.2" customHeight="1" x14ac:dyDescent="0.3">
      <c r="D14" s="1">
        <v>13</v>
      </c>
      <c r="E14" s="1">
        <v>24</v>
      </c>
      <c r="F14" s="1">
        <v>31</v>
      </c>
      <c r="J14" s="2">
        <v>13</v>
      </c>
      <c r="K14" s="1" t="e">
        <f t="shared" si="2"/>
        <v>#N/A</v>
      </c>
      <c r="L14" s="1" t="e">
        <f t="shared" si="3"/>
        <v>#N/A</v>
      </c>
      <c r="M14" s="1" t="e">
        <f t="shared" si="3"/>
        <v>#N/A</v>
      </c>
      <c r="N14" s="1" t="e">
        <f t="shared" si="3"/>
        <v>#N/A</v>
      </c>
      <c r="O14" s="1" t="e">
        <f t="shared" si="3"/>
        <v>#N/A</v>
      </c>
      <c r="P14" s="1" t="e">
        <f t="shared" si="3"/>
        <v>#N/A</v>
      </c>
      <c r="Q14" s="1" t="e">
        <f t="shared" si="3"/>
        <v>#N/A</v>
      </c>
      <c r="R14" s="1" t="e">
        <f t="shared" si="3"/>
        <v>#N/A</v>
      </c>
      <c r="S14" s="1" t="e">
        <f t="shared" si="3"/>
        <v>#N/A</v>
      </c>
      <c r="T14" s="1" t="e">
        <f t="shared" si="3"/>
        <v>#N/A</v>
      </c>
      <c r="U14" s="1" t="e">
        <f t="shared" si="3"/>
        <v>#N/A</v>
      </c>
      <c r="V14" s="1" t="e">
        <f t="shared" si="3"/>
        <v>#N/A</v>
      </c>
      <c r="W14" s="1" t="e">
        <f t="shared" si="3"/>
        <v>#N/A</v>
      </c>
      <c r="X14" s="1" t="e">
        <f t="shared" si="3"/>
        <v>#N/A</v>
      </c>
      <c r="Y14" s="1" t="e">
        <f t="shared" si="3"/>
        <v>#N/A</v>
      </c>
      <c r="Z14" s="1" t="e">
        <f t="shared" si="3"/>
        <v>#N/A</v>
      </c>
      <c r="AA14" s="1" t="e">
        <f t="shared" si="3"/>
        <v>#N/A</v>
      </c>
      <c r="AB14" s="1" t="e">
        <f t="shared" si="3"/>
        <v>#N/A</v>
      </c>
      <c r="AC14" s="1" t="e">
        <f t="shared" si="3"/>
        <v>#N/A</v>
      </c>
      <c r="AD14" s="1" t="e">
        <f t="shared" si="3"/>
        <v>#N/A</v>
      </c>
      <c r="AE14" s="1" t="e">
        <f t="shared" si="3"/>
        <v>#N/A</v>
      </c>
      <c r="AF14" s="1" t="e">
        <f t="shared" si="3"/>
        <v>#N/A</v>
      </c>
      <c r="AG14" s="1" t="e">
        <f t="shared" si="3"/>
        <v>#N/A</v>
      </c>
      <c r="AH14" s="1">
        <f t="shared" si="3"/>
        <v>24</v>
      </c>
      <c r="AI14" s="1" t="e">
        <f t="shared" si="3"/>
        <v>#N/A</v>
      </c>
      <c r="AJ14" s="1" t="e">
        <f t="shared" si="3"/>
        <v>#N/A</v>
      </c>
      <c r="AK14" s="1" t="e">
        <f t="shared" si="3"/>
        <v>#N/A</v>
      </c>
      <c r="AL14" s="1" t="e">
        <f t="shared" si="3"/>
        <v>#N/A</v>
      </c>
      <c r="AM14" s="1" t="e">
        <f t="shared" si="3"/>
        <v>#N/A</v>
      </c>
      <c r="AN14" s="1" t="e">
        <f t="shared" si="3"/>
        <v>#N/A</v>
      </c>
      <c r="AO14" s="1">
        <f t="shared" si="3"/>
        <v>31</v>
      </c>
      <c r="AP14" s="1" t="e">
        <f t="shared" si="3"/>
        <v>#N/A</v>
      </c>
    </row>
    <row r="15" spans="4:42" ht="43.2" customHeight="1" x14ac:dyDescent="0.3">
      <c r="D15" s="1">
        <v>14</v>
      </c>
      <c r="E15" s="1">
        <v>25</v>
      </c>
      <c r="F15" s="1">
        <v>27</v>
      </c>
      <c r="J15" s="2">
        <v>14</v>
      </c>
      <c r="K15" s="1" t="e">
        <f t="shared" si="2"/>
        <v>#N/A</v>
      </c>
      <c r="L15" s="1" t="e">
        <f t="shared" si="3"/>
        <v>#N/A</v>
      </c>
      <c r="M15" s="1" t="e">
        <f t="shared" si="3"/>
        <v>#N/A</v>
      </c>
      <c r="N15" s="1" t="e">
        <f t="shared" si="3"/>
        <v>#N/A</v>
      </c>
      <c r="O15" s="1" t="e">
        <f t="shared" si="3"/>
        <v>#N/A</v>
      </c>
      <c r="P15" s="1" t="e">
        <f t="shared" si="3"/>
        <v>#N/A</v>
      </c>
      <c r="Q15" s="1" t="e">
        <f t="shared" si="3"/>
        <v>#N/A</v>
      </c>
      <c r="R15" s="1" t="e">
        <f t="shared" si="3"/>
        <v>#N/A</v>
      </c>
      <c r="S15" s="1" t="e">
        <f t="shared" si="3"/>
        <v>#N/A</v>
      </c>
      <c r="T15" s="1" t="e">
        <f t="shared" si="3"/>
        <v>#N/A</v>
      </c>
      <c r="U15" s="1" t="e">
        <f t="shared" si="3"/>
        <v>#N/A</v>
      </c>
      <c r="V15" s="1" t="e">
        <f t="shared" si="3"/>
        <v>#N/A</v>
      </c>
      <c r="W15" s="1" t="e">
        <f t="shared" si="3"/>
        <v>#N/A</v>
      </c>
      <c r="X15" s="1" t="e">
        <f t="shared" si="3"/>
        <v>#N/A</v>
      </c>
      <c r="Y15" s="1" t="e">
        <f t="shared" si="3"/>
        <v>#N/A</v>
      </c>
      <c r="Z15" s="1" t="e">
        <f t="shared" si="3"/>
        <v>#N/A</v>
      </c>
      <c r="AA15" s="1" t="e">
        <f t="shared" si="3"/>
        <v>#N/A</v>
      </c>
      <c r="AB15" s="1" t="e">
        <f t="shared" si="3"/>
        <v>#N/A</v>
      </c>
      <c r="AC15" s="1" t="e">
        <f t="shared" si="3"/>
        <v>#N/A</v>
      </c>
      <c r="AD15" s="1" t="e">
        <f t="shared" si="3"/>
        <v>#N/A</v>
      </c>
      <c r="AE15" s="1" t="e">
        <f t="shared" si="3"/>
        <v>#N/A</v>
      </c>
      <c r="AF15" s="1" t="e">
        <f t="shared" si="3"/>
        <v>#N/A</v>
      </c>
      <c r="AG15" s="1" t="e">
        <f t="shared" si="3"/>
        <v>#N/A</v>
      </c>
      <c r="AH15" s="1" t="e">
        <f t="shared" si="3"/>
        <v>#N/A</v>
      </c>
      <c r="AI15" s="1">
        <f t="shared" si="3"/>
        <v>25</v>
      </c>
      <c r="AJ15" s="1" t="e">
        <f t="shared" si="3"/>
        <v>#N/A</v>
      </c>
      <c r="AK15" s="1">
        <f t="shared" si="3"/>
        <v>27</v>
      </c>
      <c r="AL15" s="1" t="e">
        <f t="shared" si="3"/>
        <v>#N/A</v>
      </c>
      <c r="AM15" s="1" t="e">
        <f t="shared" si="3"/>
        <v>#N/A</v>
      </c>
      <c r="AN15" s="1" t="e">
        <f t="shared" si="3"/>
        <v>#N/A</v>
      </c>
      <c r="AO15" s="1" t="e">
        <f t="shared" si="3"/>
        <v>#N/A</v>
      </c>
      <c r="AP15" s="1" t="e">
        <f t="shared" si="3"/>
        <v>#N/A</v>
      </c>
    </row>
    <row r="16" spans="4:42" ht="43.2" customHeight="1" x14ac:dyDescent="0.3">
      <c r="D16" s="1">
        <v>15</v>
      </c>
      <c r="E16" s="1">
        <v>19</v>
      </c>
      <c r="J16" s="2">
        <v>15</v>
      </c>
      <c r="K16" s="1" t="e">
        <f t="shared" si="2"/>
        <v>#N/A</v>
      </c>
      <c r="L16" s="1" t="e">
        <f t="shared" si="3"/>
        <v>#N/A</v>
      </c>
      <c r="M16" s="1" t="e">
        <f t="shared" si="3"/>
        <v>#N/A</v>
      </c>
      <c r="N16" s="1" t="e">
        <f t="shared" si="3"/>
        <v>#N/A</v>
      </c>
      <c r="O16" s="1" t="e">
        <f t="shared" si="3"/>
        <v>#N/A</v>
      </c>
      <c r="P16" s="1" t="e">
        <f t="shared" si="3"/>
        <v>#N/A</v>
      </c>
      <c r="Q16" s="1" t="e">
        <f t="shared" si="3"/>
        <v>#N/A</v>
      </c>
      <c r="R16" s="1" t="e">
        <f t="shared" si="3"/>
        <v>#N/A</v>
      </c>
      <c r="S16" s="1" t="e">
        <f t="shared" si="3"/>
        <v>#N/A</v>
      </c>
      <c r="T16" s="1" t="e">
        <f t="shared" si="3"/>
        <v>#N/A</v>
      </c>
      <c r="U16" s="1" t="e">
        <f t="shared" si="3"/>
        <v>#N/A</v>
      </c>
      <c r="V16" s="1" t="e">
        <f t="shared" si="3"/>
        <v>#N/A</v>
      </c>
      <c r="W16" s="1" t="e">
        <f t="shared" si="3"/>
        <v>#N/A</v>
      </c>
      <c r="X16" s="1" t="e">
        <f t="shared" si="3"/>
        <v>#N/A</v>
      </c>
      <c r="Y16" s="1" t="e">
        <f t="shared" si="3"/>
        <v>#N/A</v>
      </c>
      <c r="Z16" s="1" t="e">
        <f t="shared" si="3"/>
        <v>#N/A</v>
      </c>
      <c r="AA16" s="1" t="e">
        <f t="shared" si="3"/>
        <v>#N/A</v>
      </c>
      <c r="AB16" s="1" t="e">
        <f t="shared" si="3"/>
        <v>#N/A</v>
      </c>
      <c r="AC16" s="1">
        <f t="shared" si="3"/>
        <v>19</v>
      </c>
      <c r="AD16" s="1" t="e">
        <f t="shared" si="3"/>
        <v>#N/A</v>
      </c>
      <c r="AE16" s="1" t="e">
        <f t="shared" si="3"/>
        <v>#N/A</v>
      </c>
      <c r="AF16" s="1" t="e">
        <f t="shared" si="3"/>
        <v>#N/A</v>
      </c>
      <c r="AG16" s="1" t="e">
        <f t="shared" si="3"/>
        <v>#N/A</v>
      </c>
      <c r="AH16" s="1" t="e">
        <f t="shared" si="3"/>
        <v>#N/A</v>
      </c>
      <c r="AI16" s="1" t="e">
        <f t="shared" si="3"/>
        <v>#N/A</v>
      </c>
      <c r="AJ16" s="1" t="e">
        <f t="shared" si="3"/>
        <v>#N/A</v>
      </c>
      <c r="AK16" s="1" t="e">
        <f t="shared" si="3"/>
        <v>#N/A</v>
      </c>
      <c r="AL16" s="1" t="e">
        <f t="shared" si="3"/>
        <v>#N/A</v>
      </c>
      <c r="AM16" s="1" t="e">
        <f t="shared" si="3"/>
        <v>#N/A</v>
      </c>
      <c r="AN16" s="1" t="e">
        <f t="shared" si="3"/>
        <v>#N/A</v>
      </c>
      <c r="AO16" s="1" t="e">
        <f t="shared" si="3"/>
        <v>#N/A</v>
      </c>
      <c r="AP16" s="1" t="e">
        <f t="shared" si="3"/>
        <v>#N/A</v>
      </c>
    </row>
    <row r="17" spans="4:42" ht="43.2" customHeight="1" x14ac:dyDescent="0.3">
      <c r="D17" s="1">
        <v>16</v>
      </c>
      <c r="E17" s="1">
        <v>20</v>
      </c>
      <c r="J17" s="2">
        <v>16</v>
      </c>
      <c r="K17" s="1" t="e">
        <f t="shared" si="2"/>
        <v>#N/A</v>
      </c>
      <c r="L17" s="1" t="e">
        <f t="shared" si="3"/>
        <v>#N/A</v>
      </c>
      <c r="M17" s="1" t="e">
        <f t="shared" si="3"/>
        <v>#N/A</v>
      </c>
      <c r="N17" s="1" t="e">
        <f t="shared" si="3"/>
        <v>#N/A</v>
      </c>
      <c r="O17" s="1" t="e">
        <f t="shared" si="3"/>
        <v>#N/A</v>
      </c>
      <c r="P17" s="1" t="e">
        <f t="shared" si="3"/>
        <v>#N/A</v>
      </c>
      <c r="Q17" s="1" t="e">
        <f t="shared" si="3"/>
        <v>#N/A</v>
      </c>
      <c r="R17" s="1" t="e">
        <f t="shared" si="3"/>
        <v>#N/A</v>
      </c>
      <c r="S17" s="1" t="e">
        <f t="shared" si="3"/>
        <v>#N/A</v>
      </c>
      <c r="T17" s="1" t="e">
        <f t="shared" si="3"/>
        <v>#N/A</v>
      </c>
      <c r="U17" s="1" t="e">
        <f t="shared" si="3"/>
        <v>#N/A</v>
      </c>
      <c r="V17" s="1" t="e">
        <f t="shared" si="3"/>
        <v>#N/A</v>
      </c>
      <c r="W17" s="1" t="e">
        <f t="shared" si="3"/>
        <v>#N/A</v>
      </c>
      <c r="X17" s="1" t="e">
        <f t="shared" si="3"/>
        <v>#N/A</v>
      </c>
      <c r="Y17" s="1" t="e">
        <f t="shared" si="3"/>
        <v>#N/A</v>
      </c>
      <c r="Z17" s="1" t="e">
        <f t="shared" si="3"/>
        <v>#N/A</v>
      </c>
      <c r="AA17" s="1" t="e">
        <f t="shared" si="3"/>
        <v>#N/A</v>
      </c>
      <c r="AB17" s="1" t="e">
        <f t="shared" si="3"/>
        <v>#N/A</v>
      </c>
      <c r="AC17" s="1" t="e">
        <f t="shared" si="3"/>
        <v>#N/A</v>
      </c>
      <c r="AD17" s="1">
        <f t="shared" si="3"/>
        <v>20</v>
      </c>
      <c r="AE17" s="1" t="e">
        <f t="shared" si="3"/>
        <v>#N/A</v>
      </c>
      <c r="AF17" s="1" t="e">
        <f t="shared" si="3"/>
        <v>#N/A</v>
      </c>
      <c r="AG17" s="1" t="e">
        <f t="shared" si="3"/>
        <v>#N/A</v>
      </c>
      <c r="AH17" s="1" t="e">
        <f t="shared" si="3"/>
        <v>#N/A</v>
      </c>
      <c r="AI17" s="1" t="e">
        <f t="shared" si="3"/>
        <v>#N/A</v>
      </c>
      <c r="AJ17" s="1" t="e">
        <f t="shared" si="3"/>
        <v>#N/A</v>
      </c>
      <c r="AK17" s="1" t="e">
        <f t="shared" si="3"/>
        <v>#N/A</v>
      </c>
      <c r="AL17" s="1" t="e">
        <f t="shared" si="3"/>
        <v>#N/A</v>
      </c>
      <c r="AM17" s="1" t="e">
        <f t="shared" si="3"/>
        <v>#N/A</v>
      </c>
      <c r="AN17" s="1" t="e">
        <f t="shared" si="3"/>
        <v>#N/A</v>
      </c>
      <c r="AO17" s="1" t="e">
        <f t="shared" si="3"/>
        <v>#N/A</v>
      </c>
      <c r="AP17" s="1" t="e">
        <f t="shared" si="3"/>
        <v>#N/A</v>
      </c>
    </row>
    <row r="18" spans="4:42" ht="43.2" customHeight="1" x14ac:dyDescent="0.3">
      <c r="D18" s="1">
        <v>17</v>
      </c>
      <c r="E18" s="1">
        <v>18</v>
      </c>
      <c r="J18" s="2">
        <v>17</v>
      </c>
      <c r="K18" s="1" t="e">
        <f t="shared" si="2"/>
        <v>#N/A</v>
      </c>
      <c r="L18" s="1" t="e">
        <f t="shared" si="3"/>
        <v>#N/A</v>
      </c>
      <c r="M18" s="1" t="e">
        <f t="shared" si="3"/>
        <v>#N/A</v>
      </c>
      <c r="N18" s="1" t="e">
        <f t="shared" si="3"/>
        <v>#N/A</v>
      </c>
      <c r="O18" s="1" t="e">
        <f t="shared" si="3"/>
        <v>#N/A</v>
      </c>
      <c r="P18" s="1" t="e">
        <f t="shared" si="3"/>
        <v>#N/A</v>
      </c>
      <c r="Q18" s="1" t="e">
        <f t="shared" si="3"/>
        <v>#N/A</v>
      </c>
      <c r="R18" s="1" t="e">
        <f t="shared" si="3"/>
        <v>#N/A</v>
      </c>
      <c r="S18" s="1" t="e">
        <f t="shared" si="3"/>
        <v>#N/A</v>
      </c>
      <c r="T18" s="1" t="e">
        <f t="shared" si="3"/>
        <v>#N/A</v>
      </c>
      <c r="U18" s="1" t="e">
        <f t="shared" si="3"/>
        <v>#N/A</v>
      </c>
      <c r="V18" s="1" t="e">
        <f t="shared" si="3"/>
        <v>#N/A</v>
      </c>
      <c r="W18" s="1" t="e">
        <f t="shared" si="3"/>
        <v>#N/A</v>
      </c>
      <c r="X18" s="1" t="e">
        <f t="shared" si="3"/>
        <v>#N/A</v>
      </c>
      <c r="Y18" s="1" t="e">
        <f t="shared" si="3"/>
        <v>#N/A</v>
      </c>
      <c r="Z18" s="1" t="e">
        <f t="shared" si="3"/>
        <v>#N/A</v>
      </c>
      <c r="AA18" s="1" t="e">
        <f t="shared" si="3"/>
        <v>#N/A</v>
      </c>
      <c r="AB18" s="1">
        <f t="shared" si="3"/>
        <v>18</v>
      </c>
      <c r="AC18" s="1" t="e">
        <f t="shared" si="3"/>
        <v>#N/A</v>
      </c>
      <c r="AD18" s="1" t="e">
        <f t="shared" si="3"/>
        <v>#N/A</v>
      </c>
      <c r="AE18" s="1" t="e">
        <f t="shared" si="3"/>
        <v>#N/A</v>
      </c>
      <c r="AF18" s="1" t="e">
        <f t="shared" si="3"/>
        <v>#N/A</v>
      </c>
      <c r="AG18" s="1" t="e">
        <f t="shared" si="3"/>
        <v>#N/A</v>
      </c>
      <c r="AH18" s="1" t="e">
        <f t="shared" si="3"/>
        <v>#N/A</v>
      </c>
      <c r="AI18" s="1" t="e">
        <f t="shared" si="3"/>
        <v>#N/A</v>
      </c>
      <c r="AJ18" s="1" t="e">
        <f t="shared" si="3"/>
        <v>#N/A</v>
      </c>
      <c r="AK18" s="1" t="e">
        <f t="shared" si="3"/>
        <v>#N/A</v>
      </c>
      <c r="AL18" s="1" t="e">
        <f t="shared" si="3"/>
        <v>#N/A</v>
      </c>
      <c r="AM18" s="1" t="e">
        <f t="shared" si="3"/>
        <v>#N/A</v>
      </c>
      <c r="AN18" s="1" t="e">
        <f t="shared" si="3"/>
        <v>#N/A</v>
      </c>
      <c r="AO18" s="1" t="e">
        <f t="shared" si="3"/>
        <v>#N/A</v>
      </c>
      <c r="AP18" s="1" t="e">
        <f t="shared" si="3"/>
        <v>#N/A</v>
      </c>
    </row>
    <row r="19" spans="4:42" ht="43.2" customHeight="1" x14ac:dyDescent="0.3">
      <c r="D19" s="1">
        <v>18</v>
      </c>
      <c r="E19" s="1">
        <v>31</v>
      </c>
      <c r="J19" s="2">
        <v>18</v>
      </c>
      <c r="K19" s="1" t="e">
        <f t="shared" si="2"/>
        <v>#N/A</v>
      </c>
      <c r="L19" s="1" t="e">
        <f t="shared" si="3"/>
        <v>#N/A</v>
      </c>
      <c r="M19" s="1" t="e">
        <f t="shared" si="3"/>
        <v>#N/A</v>
      </c>
      <c r="N19" s="1" t="e">
        <f t="shared" si="3"/>
        <v>#N/A</v>
      </c>
      <c r="O19" s="1" t="e">
        <f t="shared" si="3"/>
        <v>#N/A</v>
      </c>
      <c r="P19" s="1" t="e">
        <f t="shared" si="3"/>
        <v>#N/A</v>
      </c>
      <c r="Q19" s="1" t="e">
        <f t="shared" si="3"/>
        <v>#N/A</v>
      </c>
      <c r="R19" s="1" t="e">
        <f t="shared" si="3"/>
        <v>#N/A</v>
      </c>
      <c r="S19" s="1" t="e">
        <f t="shared" si="3"/>
        <v>#N/A</v>
      </c>
      <c r="T19" s="1" t="e">
        <f t="shared" si="3"/>
        <v>#N/A</v>
      </c>
      <c r="U19" s="1" t="e">
        <f t="shared" si="3"/>
        <v>#N/A</v>
      </c>
      <c r="V19" s="1" t="e">
        <f t="shared" si="3"/>
        <v>#N/A</v>
      </c>
      <c r="W19" s="1" t="e">
        <f t="shared" si="3"/>
        <v>#N/A</v>
      </c>
      <c r="X19" s="1" t="e">
        <f t="shared" si="3"/>
        <v>#N/A</v>
      </c>
      <c r="Y19" s="1" t="e">
        <f t="shared" si="3"/>
        <v>#N/A</v>
      </c>
      <c r="Z19" s="1" t="e">
        <f t="shared" si="3"/>
        <v>#N/A</v>
      </c>
      <c r="AA19" s="1" t="e">
        <f t="shared" si="3"/>
        <v>#N/A</v>
      </c>
      <c r="AB19" s="1" t="e">
        <f t="shared" si="3"/>
        <v>#N/A</v>
      </c>
      <c r="AC19" s="1" t="e">
        <f t="shared" si="3"/>
        <v>#N/A</v>
      </c>
      <c r="AD19" s="1" t="e">
        <f t="shared" si="3"/>
        <v>#N/A</v>
      </c>
      <c r="AE19" s="1" t="e">
        <f t="shared" si="3"/>
        <v>#N/A</v>
      </c>
      <c r="AF19" s="1" t="e">
        <f t="shared" si="3"/>
        <v>#N/A</v>
      </c>
      <c r="AG19" s="1" t="e">
        <f t="shared" si="3"/>
        <v>#N/A</v>
      </c>
      <c r="AH19" s="1" t="e">
        <f t="shared" si="3"/>
        <v>#N/A</v>
      </c>
      <c r="AI19" s="1" t="e">
        <f t="shared" si="3"/>
        <v>#N/A</v>
      </c>
      <c r="AJ19" s="1" t="e">
        <f t="shared" si="3"/>
        <v>#N/A</v>
      </c>
      <c r="AK19" s="1" t="e">
        <f t="shared" si="3"/>
        <v>#N/A</v>
      </c>
      <c r="AL19" s="1" t="e">
        <f t="shared" si="3"/>
        <v>#N/A</v>
      </c>
      <c r="AM19" s="1" t="e">
        <f t="shared" si="3"/>
        <v>#N/A</v>
      </c>
      <c r="AN19" s="1" t="e">
        <f t="shared" si="3"/>
        <v>#N/A</v>
      </c>
      <c r="AO19" s="1">
        <f t="shared" ref="L19:AP28" si="4">HLOOKUP(AO$1,$E19:$G19,1,FALSE)</f>
        <v>31</v>
      </c>
      <c r="AP19" s="1" t="e">
        <f t="shared" si="4"/>
        <v>#N/A</v>
      </c>
    </row>
    <row r="20" spans="4:42" ht="43.2" customHeight="1" x14ac:dyDescent="0.3">
      <c r="D20" s="1">
        <v>19</v>
      </c>
      <c r="E20" s="1">
        <v>22</v>
      </c>
      <c r="J20" s="2">
        <v>19</v>
      </c>
      <c r="K20" s="1" t="e">
        <f t="shared" si="2"/>
        <v>#N/A</v>
      </c>
      <c r="L20" s="1" t="e">
        <f t="shared" si="4"/>
        <v>#N/A</v>
      </c>
      <c r="M20" s="1" t="e">
        <f t="shared" si="4"/>
        <v>#N/A</v>
      </c>
      <c r="N20" s="1" t="e">
        <f t="shared" si="4"/>
        <v>#N/A</v>
      </c>
      <c r="O20" s="1" t="e">
        <f t="shared" si="4"/>
        <v>#N/A</v>
      </c>
      <c r="P20" s="1" t="e">
        <f t="shared" si="4"/>
        <v>#N/A</v>
      </c>
      <c r="Q20" s="1" t="e">
        <f t="shared" si="4"/>
        <v>#N/A</v>
      </c>
      <c r="R20" s="1" t="e">
        <f t="shared" si="4"/>
        <v>#N/A</v>
      </c>
      <c r="S20" s="1" t="e">
        <f t="shared" si="4"/>
        <v>#N/A</v>
      </c>
      <c r="T20" s="1" t="e">
        <f t="shared" si="4"/>
        <v>#N/A</v>
      </c>
      <c r="U20" s="1" t="e">
        <f t="shared" si="4"/>
        <v>#N/A</v>
      </c>
      <c r="V20" s="1" t="e">
        <f t="shared" si="4"/>
        <v>#N/A</v>
      </c>
      <c r="W20" s="1" t="e">
        <f t="shared" si="4"/>
        <v>#N/A</v>
      </c>
      <c r="X20" s="1" t="e">
        <f t="shared" si="4"/>
        <v>#N/A</v>
      </c>
      <c r="Y20" s="1" t="e">
        <f t="shared" si="4"/>
        <v>#N/A</v>
      </c>
      <c r="Z20" s="1" t="e">
        <f t="shared" si="4"/>
        <v>#N/A</v>
      </c>
      <c r="AA20" s="1" t="e">
        <f t="shared" si="4"/>
        <v>#N/A</v>
      </c>
      <c r="AB20" s="1" t="e">
        <f t="shared" si="4"/>
        <v>#N/A</v>
      </c>
      <c r="AC20" s="1" t="e">
        <f t="shared" si="4"/>
        <v>#N/A</v>
      </c>
      <c r="AD20" s="1" t="e">
        <f t="shared" si="4"/>
        <v>#N/A</v>
      </c>
      <c r="AE20" s="1" t="e">
        <f t="shared" si="4"/>
        <v>#N/A</v>
      </c>
      <c r="AF20" s="1">
        <f t="shared" si="4"/>
        <v>22</v>
      </c>
      <c r="AG20" s="1" t="e">
        <f t="shared" si="4"/>
        <v>#N/A</v>
      </c>
      <c r="AH20" s="1" t="e">
        <f t="shared" si="4"/>
        <v>#N/A</v>
      </c>
      <c r="AI20" s="1" t="e">
        <f t="shared" si="4"/>
        <v>#N/A</v>
      </c>
      <c r="AJ20" s="1" t="e">
        <f t="shared" si="4"/>
        <v>#N/A</v>
      </c>
      <c r="AK20" s="1" t="e">
        <f t="shared" si="4"/>
        <v>#N/A</v>
      </c>
      <c r="AL20" s="1" t="e">
        <f t="shared" si="4"/>
        <v>#N/A</v>
      </c>
      <c r="AM20" s="1" t="e">
        <f t="shared" si="4"/>
        <v>#N/A</v>
      </c>
      <c r="AN20" s="1" t="e">
        <f t="shared" si="4"/>
        <v>#N/A</v>
      </c>
      <c r="AO20" s="1" t="e">
        <f t="shared" si="4"/>
        <v>#N/A</v>
      </c>
      <c r="AP20" s="1" t="e">
        <f t="shared" si="4"/>
        <v>#N/A</v>
      </c>
    </row>
    <row r="21" spans="4:42" ht="43.2" customHeight="1" x14ac:dyDescent="0.3">
      <c r="D21" s="1">
        <v>20</v>
      </c>
      <c r="E21" s="1">
        <v>23</v>
      </c>
      <c r="J21" s="2">
        <v>20</v>
      </c>
      <c r="K21" s="1" t="e">
        <f t="shared" si="2"/>
        <v>#N/A</v>
      </c>
      <c r="L21" s="1" t="e">
        <f t="shared" si="4"/>
        <v>#N/A</v>
      </c>
      <c r="M21" s="1" t="e">
        <f t="shared" si="4"/>
        <v>#N/A</v>
      </c>
      <c r="N21" s="1" t="e">
        <f t="shared" si="4"/>
        <v>#N/A</v>
      </c>
      <c r="O21" s="1" t="e">
        <f t="shared" si="4"/>
        <v>#N/A</v>
      </c>
      <c r="P21" s="1" t="e">
        <f t="shared" si="4"/>
        <v>#N/A</v>
      </c>
      <c r="Q21" s="1" t="e">
        <f t="shared" si="4"/>
        <v>#N/A</v>
      </c>
      <c r="R21" s="1" t="e">
        <f t="shared" si="4"/>
        <v>#N/A</v>
      </c>
      <c r="S21" s="1" t="e">
        <f t="shared" si="4"/>
        <v>#N/A</v>
      </c>
      <c r="T21" s="1" t="e">
        <f t="shared" si="4"/>
        <v>#N/A</v>
      </c>
      <c r="U21" s="1" t="e">
        <f t="shared" si="4"/>
        <v>#N/A</v>
      </c>
      <c r="V21" s="1" t="e">
        <f t="shared" si="4"/>
        <v>#N/A</v>
      </c>
      <c r="W21" s="1" t="e">
        <f t="shared" si="4"/>
        <v>#N/A</v>
      </c>
      <c r="X21" s="1" t="e">
        <f t="shared" si="4"/>
        <v>#N/A</v>
      </c>
      <c r="Y21" s="1" t="e">
        <f t="shared" si="4"/>
        <v>#N/A</v>
      </c>
      <c r="Z21" s="1" t="e">
        <f t="shared" si="4"/>
        <v>#N/A</v>
      </c>
      <c r="AA21" s="1" t="e">
        <f t="shared" si="4"/>
        <v>#N/A</v>
      </c>
      <c r="AB21" s="1" t="e">
        <f t="shared" si="4"/>
        <v>#N/A</v>
      </c>
      <c r="AC21" s="1" t="e">
        <f t="shared" si="4"/>
        <v>#N/A</v>
      </c>
      <c r="AD21" s="1" t="e">
        <f t="shared" si="4"/>
        <v>#N/A</v>
      </c>
      <c r="AE21" s="1" t="e">
        <f t="shared" si="4"/>
        <v>#N/A</v>
      </c>
      <c r="AF21" s="1" t="e">
        <f t="shared" si="4"/>
        <v>#N/A</v>
      </c>
      <c r="AG21" s="1">
        <f t="shared" si="4"/>
        <v>23</v>
      </c>
      <c r="AH21" s="1" t="e">
        <f t="shared" si="4"/>
        <v>#N/A</v>
      </c>
      <c r="AI21" s="1" t="e">
        <f t="shared" si="4"/>
        <v>#N/A</v>
      </c>
      <c r="AJ21" s="1" t="e">
        <f t="shared" si="4"/>
        <v>#N/A</v>
      </c>
      <c r="AK21" s="1" t="e">
        <f t="shared" si="4"/>
        <v>#N/A</v>
      </c>
      <c r="AL21" s="1" t="e">
        <f t="shared" si="4"/>
        <v>#N/A</v>
      </c>
      <c r="AM21" s="1" t="e">
        <f t="shared" si="4"/>
        <v>#N/A</v>
      </c>
      <c r="AN21" s="1" t="e">
        <f t="shared" si="4"/>
        <v>#N/A</v>
      </c>
      <c r="AO21" s="1" t="e">
        <f t="shared" si="4"/>
        <v>#N/A</v>
      </c>
      <c r="AP21" s="1" t="e">
        <f t="shared" si="4"/>
        <v>#N/A</v>
      </c>
    </row>
    <row r="22" spans="4:42" ht="43.2" customHeight="1" x14ac:dyDescent="0.3">
      <c r="D22" s="1">
        <v>21</v>
      </c>
      <c r="E22" s="1">
        <v>26</v>
      </c>
      <c r="J22" s="2">
        <v>21</v>
      </c>
      <c r="K22" s="1" t="e">
        <f t="shared" si="2"/>
        <v>#N/A</v>
      </c>
      <c r="L22" s="1" t="e">
        <f t="shared" si="4"/>
        <v>#N/A</v>
      </c>
      <c r="M22" s="1" t="e">
        <f t="shared" si="4"/>
        <v>#N/A</v>
      </c>
      <c r="N22" s="1" t="e">
        <f t="shared" si="4"/>
        <v>#N/A</v>
      </c>
      <c r="O22" s="1" t="e">
        <f t="shared" si="4"/>
        <v>#N/A</v>
      </c>
      <c r="P22" s="1" t="e">
        <f t="shared" si="4"/>
        <v>#N/A</v>
      </c>
      <c r="Q22" s="1" t="e">
        <f t="shared" si="4"/>
        <v>#N/A</v>
      </c>
      <c r="R22" s="1" t="e">
        <f t="shared" si="4"/>
        <v>#N/A</v>
      </c>
      <c r="S22" s="1" t="e">
        <f t="shared" si="4"/>
        <v>#N/A</v>
      </c>
      <c r="T22" s="1" t="e">
        <f t="shared" si="4"/>
        <v>#N/A</v>
      </c>
      <c r="U22" s="1" t="e">
        <f t="shared" si="4"/>
        <v>#N/A</v>
      </c>
      <c r="V22" s="1" t="e">
        <f t="shared" si="4"/>
        <v>#N/A</v>
      </c>
      <c r="W22" s="1" t="e">
        <f t="shared" si="4"/>
        <v>#N/A</v>
      </c>
      <c r="X22" s="1" t="e">
        <f t="shared" si="4"/>
        <v>#N/A</v>
      </c>
      <c r="Y22" s="1" t="e">
        <f t="shared" si="4"/>
        <v>#N/A</v>
      </c>
      <c r="Z22" s="1" t="e">
        <f t="shared" si="4"/>
        <v>#N/A</v>
      </c>
      <c r="AA22" s="1" t="e">
        <f t="shared" si="4"/>
        <v>#N/A</v>
      </c>
      <c r="AB22" s="1" t="e">
        <f t="shared" si="4"/>
        <v>#N/A</v>
      </c>
      <c r="AC22" s="1" t="e">
        <f t="shared" si="4"/>
        <v>#N/A</v>
      </c>
      <c r="AD22" s="1" t="e">
        <f t="shared" si="4"/>
        <v>#N/A</v>
      </c>
      <c r="AE22" s="1" t="e">
        <f t="shared" si="4"/>
        <v>#N/A</v>
      </c>
      <c r="AF22" s="1" t="e">
        <f t="shared" si="4"/>
        <v>#N/A</v>
      </c>
      <c r="AG22" s="1" t="e">
        <f t="shared" si="4"/>
        <v>#N/A</v>
      </c>
      <c r="AH22" s="1" t="e">
        <f t="shared" si="4"/>
        <v>#N/A</v>
      </c>
      <c r="AI22" s="1" t="e">
        <f t="shared" si="4"/>
        <v>#N/A</v>
      </c>
      <c r="AJ22" s="1">
        <f t="shared" si="4"/>
        <v>26</v>
      </c>
      <c r="AK22" s="1" t="e">
        <f t="shared" si="4"/>
        <v>#N/A</v>
      </c>
      <c r="AL22" s="1" t="e">
        <f t="shared" si="4"/>
        <v>#N/A</v>
      </c>
      <c r="AM22" s="1" t="e">
        <f t="shared" si="4"/>
        <v>#N/A</v>
      </c>
      <c r="AN22" s="1" t="e">
        <f t="shared" si="4"/>
        <v>#N/A</v>
      </c>
      <c r="AO22" s="1" t="e">
        <f t="shared" si="4"/>
        <v>#N/A</v>
      </c>
      <c r="AP22" s="1" t="e">
        <f t="shared" si="4"/>
        <v>#N/A</v>
      </c>
    </row>
    <row r="23" spans="4:42" ht="43.2" customHeight="1" x14ac:dyDescent="0.3">
      <c r="D23" s="1">
        <v>22</v>
      </c>
      <c r="E23" s="1">
        <v>28</v>
      </c>
      <c r="J23" s="2">
        <v>22</v>
      </c>
      <c r="K23" s="1" t="e">
        <f t="shared" si="2"/>
        <v>#N/A</v>
      </c>
      <c r="L23" s="1" t="e">
        <f t="shared" si="4"/>
        <v>#N/A</v>
      </c>
      <c r="M23" s="1" t="e">
        <f t="shared" si="4"/>
        <v>#N/A</v>
      </c>
      <c r="N23" s="1" t="e">
        <f t="shared" si="4"/>
        <v>#N/A</v>
      </c>
      <c r="O23" s="1" t="e">
        <f t="shared" si="4"/>
        <v>#N/A</v>
      </c>
      <c r="P23" s="1" t="e">
        <f t="shared" si="4"/>
        <v>#N/A</v>
      </c>
      <c r="Q23" s="1" t="e">
        <f t="shared" si="4"/>
        <v>#N/A</v>
      </c>
      <c r="R23" s="1" t="e">
        <f t="shared" si="4"/>
        <v>#N/A</v>
      </c>
      <c r="S23" s="1" t="e">
        <f t="shared" si="4"/>
        <v>#N/A</v>
      </c>
      <c r="T23" s="1" t="e">
        <f t="shared" si="4"/>
        <v>#N/A</v>
      </c>
      <c r="U23" s="1" t="e">
        <f t="shared" si="4"/>
        <v>#N/A</v>
      </c>
      <c r="V23" s="1" t="e">
        <f t="shared" si="4"/>
        <v>#N/A</v>
      </c>
      <c r="W23" s="1" t="e">
        <f t="shared" si="4"/>
        <v>#N/A</v>
      </c>
      <c r="X23" s="1" t="e">
        <f t="shared" si="4"/>
        <v>#N/A</v>
      </c>
      <c r="Y23" s="1" t="e">
        <f t="shared" si="4"/>
        <v>#N/A</v>
      </c>
      <c r="Z23" s="1" t="e">
        <f t="shared" si="4"/>
        <v>#N/A</v>
      </c>
      <c r="AA23" s="1" t="e">
        <f t="shared" si="4"/>
        <v>#N/A</v>
      </c>
      <c r="AB23" s="1" t="e">
        <f t="shared" si="4"/>
        <v>#N/A</v>
      </c>
      <c r="AC23" s="1" t="e">
        <f t="shared" si="4"/>
        <v>#N/A</v>
      </c>
      <c r="AD23" s="1" t="e">
        <f t="shared" si="4"/>
        <v>#N/A</v>
      </c>
      <c r="AE23" s="1" t="e">
        <f t="shared" si="4"/>
        <v>#N/A</v>
      </c>
      <c r="AF23" s="1" t="e">
        <f t="shared" si="4"/>
        <v>#N/A</v>
      </c>
      <c r="AG23" s="1" t="e">
        <f t="shared" si="4"/>
        <v>#N/A</v>
      </c>
      <c r="AH23" s="1" t="e">
        <f t="shared" si="4"/>
        <v>#N/A</v>
      </c>
      <c r="AI23" s="1" t="e">
        <f t="shared" si="4"/>
        <v>#N/A</v>
      </c>
      <c r="AJ23" s="1" t="e">
        <f t="shared" si="4"/>
        <v>#N/A</v>
      </c>
      <c r="AK23" s="1" t="e">
        <f t="shared" si="4"/>
        <v>#N/A</v>
      </c>
      <c r="AL23" s="1">
        <f t="shared" si="4"/>
        <v>28</v>
      </c>
      <c r="AM23" s="1" t="e">
        <f t="shared" si="4"/>
        <v>#N/A</v>
      </c>
      <c r="AN23" s="1" t="e">
        <f t="shared" si="4"/>
        <v>#N/A</v>
      </c>
      <c r="AO23" s="1" t="e">
        <f t="shared" si="4"/>
        <v>#N/A</v>
      </c>
      <c r="AP23" s="1" t="e">
        <f t="shared" si="4"/>
        <v>#N/A</v>
      </c>
    </row>
    <row r="24" spans="4:42" ht="43.2" customHeight="1" x14ac:dyDescent="0.3">
      <c r="D24" s="1">
        <v>23</v>
      </c>
      <c r="E24" s="1">
        <v>26</v>
      </c>
      <c r="J24" s="2">
        <v>23</v>
      </c>
      <c r="K24" s="1" t="e">
        <f t="shared" si="2"/>
        <v>#N/A</v>
      </c>
      <c r="L24" s="1" t="e">
        <f t="shared" si="4"/>
        <v>#N/A</v>
      </c>
      <c r="M24" s="1" t="e">
        <f t="shared" si="4"/>
        <v>#N/A</v>
      </c>
      <c r="N24" s="1" t="e">
        <f t="shared" si="4"/>
        <v>#N/A</v>
      </c>
      <c r="O24" s="1" t="e">
        <f t="shared" si="4"/>
        <v>#N/A</v>
      </c>
      <c r="P24" s="1" t="e">
        <f t="shared" si="4"/>
        <v>#N/A</v>
      </c>
      <c r="Q24" s="1" t="e">
        <f t="shared" si="4"/>
        <v>#N/A</v>
      </c>
      <c r="R24" s="1" t="e">
        <f t="shared" si="4"/>
        <v>#N/A</v>
      </c>
      <c r="S24" s="1" t="e">
        <f t="shared" si="4"/>
        <v>#N/A</v>
      </c>
      <c r="T24" s="1" t="e">
        <f t="shared" si="4"/>
        <v>#N/A</v>
      </c>
      <c r="U24" s="1" t="e">
        <f t="shared" si="4"/>
        <v>#N/A</v>
      </c>
      <c r="V24" s="1" t="e">
        <f t="shared" si="4"/>
        <v>#N/A</v>
      </c>
      <c r="W24" s="1" t="e">
        <f t="shared" si="4"/>
        <v>#N/A</v>
      </c>
      <c r="X24" s="1" t="e">
        <f t="shared" si="4"/>
        <v>#N/A</v>
      </c>
      <c r="Y24" s="1" t="e">
        <f t="shared" si="4"/>
        <v>#N/A</v>
      </c>
      <c r="Z24" s="1" t="e">
        <f t="shared" si="4"/>
        <v>#N/A</v>
      </c>
      <c r="AA24" s="1" t="e">
        <f t="shared" si="4"/>
        <v>#N/A</v>
      </c>
      <c r="AB24" s="1" t="e">
        <f t="shared" si="4"/>
        <v>#N/A</v>
      </c>
      <c r="AC24" s="1" t="e">
        <f t="shared" si="4"/>
        <v>#N/A</v>
      </c>
      <c r="AD24" s="1" t="e">
        <f t="shared" si="4"/>
        <v>#N/A</v>
      </c>
      <c r="AE24" s="1" t="e">
        <f t="shared" si="4"/>
        <v>#N/A</v>
      </c>
      <c r="AF24" s="1" t="e">
        <f t="shared" si="4"/>
        <v>#N/A</v>
      </c>
      <c r="AG24" s="1" t="e">
        <f t="shared" si="4"/>
        <v>#N/A</v>
      </c>
      <c r="AH24" s="1" t="e">
        <f t="shared" si="4"/>
        <v>#N/A</v>
      </c>
      <c r="AI24" s="1" t="e">
        <f t="shared" si="4"/>
        <v>#N/A</v>
      </c>
      <c r="AJ24" s="1">
        <f t="shared" si="4"/>
        <v>26</v>
      </c>
      <c r="AK24" s="1" t="e">
        <f t="shared" si="4"/>
        <v>#N/A</v>
      </c>
      <c r="AL24" s="1" t="e">
        <f t="shared" si="4"/>
        <v>#N/A</v>
      </c>
      <c r="AM24" s="1" t="e">
        <f t="shared" si="4"/>
        <v>#N/A</v>
      </c>
      <c r="AN24" s="1" t="e">
        <f t="shared" si="4"/>
        <v>#N/A</v>
      </c>
      <c r="AO24" s="1" t="e">
        <f t="shared" si="4"/>
        <v>#N/A</v>
      </c>
      <c r="AP24" s="1" t="e">
        <f t="shared" si="4"/>
        <v>#N/A</v>
      </c>
    </row>
    <row r="25" spans="4:42" ht="43.2" customHeight="1" x14ac:dyDescent="0.3">
      <c r="D25" s="1">
        <v>24</v>
      </c>
      <c r="E25" s="1">
        <v>27</v>
      </c>
      <c r="J25" s="2">
        <v>24</v>
      </c>
      <c r="K25" s="1" t="e">
        <f t="shared" si="2"/>
        <v>#N/A</v>
      </c>
      <c r="L25" s="1" t="e">
        <f t="shared" si="4"/>
        <v>#N/A</v>
      </c>
      <c r="M25" s="1" t="e">
        <f t="shared" si="4"/>
        <v>#N/A</v>
      </c>
      <c r="N25" s="1" t="e">
        <f t="shared" si="4"/>
        <v>#N/A</v>
      </c>
      <c r="O25" s="1" t="e">
        <f t="shared" si="4"/>
        <v>#N/A</v>
      </c>
      <c r="P25" s="1" t="e">
        <f t="shared" si="4"/>
        <v>#N/A</v>
      </c>
      <c r="Q25" s="1" t="e">
        <f t="shared" si="4"/>
        <v>#N/A</v>
      </c>
      <c r="R25" s="1" t="e">
        <f t="shared" si="4"/>
        <v>#N/A</v>
      </c>
      <c r="S25" s="1" t="e">
        <f t="shared" si="4"/>
        <v>#N/A</v>
      </c>
      <c r="T25" s="1" t="e">
        <f t="shared" si="4"/>
        <v>#N/A</v>
      </c>
      <c r="U25" s="1" t="e">
        <f t="shared" si="4"/>
        <v>#N/A</v>
      </c>
      <c r="V25" s="1" t="e">
        <f t="shared" si="4"/>
        <v>#N/A</v>
      </c>
      <c r="W25" s="1" t="e">
        <f t="shared" si="4"/>
        <v>#N/A</v>
      </c>
      <c r="X25" s="1" t="e">
        <f t="shared" si="4"/>
        <v>#N/A</v>
      </c>
      <c r="Y25" s="1" t="e">
        <f t="shared" si="4"/>
        <v>#N/A</v>
      </c>
      <c r="Z25" s="1" t="e">
        <f t="shared" si="4"/>
        <v>#N/A</v>
      </c>
      <c r="AA25" s="1" t="e">
        <f t="shared" si="4"/>
        <v>#N/A</v>
      </c>
      <c r="AB25" s="1" t="e">
        <f t="shared" si="4"/>
        <v>#N/A</v>
      </c>
      <c r="AC25" s="1" t="e">
        <f t="shared" si="4"/>
        <v>#N/A</v>
      </c>
      <c r="AD25" s="1" t="e">
        <f t="shared" si="4"/>
        <v>#N/A</v>
      </c>
      <c r="AE25" s="1" t="e">
        <f t="shared" si="4"/>
        <v>#N/A</v>
      </c>
      <c r="AF25" s="1" t="e">
        <f t="shared" si="4"/>
        <v>#N/A</v>
      </c>
      <c r="AG25" s="1" t="e">
        <f t="shared" si="4"/>
        <v>#N/A</v>
      </c>
      <c r="AH25" s="1" t="e">
        <f t="shared" si="4"/>
        <v>#N/A</v>
      </c>
      <c r="AI25" s="1" t="e">
        <f t="shared" si="4"/>
        <v>#N/A</v>
      </c>
      <c r="AJ25" s="1" t="e">
        <f t="shared" si="4"/>
        <v>#N/A</v>
      </c>
      <c r="AK25" s="1">
        <f t="shared" si="4"/>
        <v>27</v>
      </c>
      <c r="AL25" s="1" t="e">
        <f t="shared" si="4"/>
        <v>#N/A</v>
      </c>
      <c r="AM25" s="1" t="e">
        <f t="shared" si="4"/>
        <v>#N/A</v>
      </c>
      <c r="AN25" s="1" t="e">
        <f t="shared" si="4"/>
        <v>#N/A</v>
      </c>
      <c r="AO25" s="1" t="e">
        <f t="shared" si="4"/>
        <v>#N/A</v>
      </c>
      <c r="AP25" s="1" t="e">
        <f t="shared" si="4"/>
        <v>#N/A</v>
      </c>
    </row>
    <row r="26" spans="4:42" ht="43.2" customHeight="1" x14ac:dyDescent="0.3">
      <c r="D26" s="1">
        <v>25</v>
      </c>
      <c r="E26" s="1">
        <v>26</v>
      </c>
      <c r="F26" s="1">
        <v>29</v>
      </c>
      <c r="J26" s="2">
        <v>25</v>
      </c>
      <c r="K26" s="1" t="e">
        <f t="shared" si="2"/>
        <v>#N/A</v>
      </c>
      <c r="L26" s="1" t="e">
        <f t="shared" si="4"/>
        <v>#N/A</v>
      </c>
      <c r="M26" s="1" t="e">
        <f t="shared" si="4"/>
        <v>#N/A</v>
      </c>
      <c r="N26" s="1" t="e">
        <f t="shared" si="4"/>
        <v>#N/A</v>
      </c>
      <c r="O26" s="1" t="e">
        <f t="shared" si="4"/>
        <v>#N/A</v>
      </c>
      <c r="P26" s="1" t="e">
        <f t="shared" si="4"/>
        <v>#N/A</v>
      </c>
      <c r="Q26" s="1" t="e">
        <f t="shared" si="4"/>
        <v>#N/A</v>
      </c>
      <c r="R26" s="1" t="e">
        <f t="shared" si="4"/>
        <v>#N/A</v>
      </c>
      <c r="S26" s="1" t="e">
        <f t="shared" si="4"/>
        <v>#N/A</v>
      </c>
      <c r="T26" s="1" t="e">
        <f t="shared" si="4"/>
        <v>#N/A</v>
      </c>
      <c r="U26" s="1" t="e">
        <f t="shared" si="4"/>
        <v>#N/A</v>
      </c>
      <c r="V26" s="1" t="e">
        <f t="shared" si="4"/>
        <v>#N/A</v>
      </c>
      <c r="W26" s="1" t="e">
        <f t="shared" si="4"/>
        <v>#N/A</v>
      </c>
      <c r="X26" s="1" t="e">
        <f t="shared" si="4"/>
        <v>#N/A</v>
      </c>
      <c r="Y26" s="1" t="e">
        <f t="shared" si="4"/>
        <v>#N/A</v>
      </c>
      <c r="Z26" s="1" t="e">
        <f t="shared" si="4"/>
        <v>#N/A</v>
      </c>
      <c r="AA26" s="1" t="e">
        <f t="shared" si="4"/>
        <v>#N/A</v>
      </c>
      <c r="AB26" s="1" t="e">
        <f t="shared" si="4"/>
        <v>#N/A</v>
      </c>
      <c r="AC26" s="1" t="e">
        <f t="shared" si="4"/>
        <v>#N/A</v>
      </c>
      <c r="AD26" s="1" t="e">
        <f t="shared" si="4"/>
        <v>#N/A</v>
      </c>
      <c r="AE26" s="1" t="e">
        <f t="shared" si="4"/>
        <v>#N/A</v>
      </c>
      <c r="AF26" s="1" t="e">
        <f t="shared" si="4"/>
        <v>#N/A</v>
      </c>
      <c r="AG26" s="1" t="e">
        <f t="shared" si="4"/>
        <v>#N/A</v>
      </c>
      <c r="AH26" s="1" t="e">
        <f t="shared" si="4"/>
        <v>#N/A</v>
      </c>
      <c r="AI26" s="1" t="e">
        <f t="shared" si="4"/>
        <v>#N/A</v>
      </c>
      <c r="AJ26" s="1">
        <f t="shared" si="4"/>
        <v>26</v>
      </c>
      <c r="AK26" s="1" t="e">
        <f t="shared" si="4"/>
        <v>#N/A</v>
      </c>
      <c r="AL26" s="1" t="e">
        <f t="shared" si="4"/>
        <v>#N/A</v>
      </c>
      <c r="AM26" s="1">
        <f t="shared" si="4"/>
        <v>29</v>
      </c>
      <c r="AN26" s="1" t="e">
        <f t="shared" si="4"/>
        <v>#N/A</v>
      </c>
      <c r="AO26" s="1" t="e">
        <f t="shared" si="4"/>
        <v>#N/A</v>
      </c>
      <c r="AP26" s="1" t="e">
        <f t="shared" si="4"/>
        <v>#N/A</v>
      </c>
    </row>
    <row r="27" spans="4:42" ht="43.2" customHeight="1" x14ac:dyDescent="0.3">
      <c r="D27" s="1">
        <v>26</v>
      </c>
      <c r="E27" s="1">
        <v>31</v>
      </c>
      <c r="J27" s="2">
        <v>26</v>
      </c>
      <c r="K27" s="1" t="e">
        <f t="shared" si="2"/>
        <v>#N/A</v>
      </c>
      <c r="L27" s="1" t="e">
        <f t="shared" si="4"/>
        <v>#N/A</v>
      </c>
      <c r="M27" s="1" t="e">
        <f t="shared" si="4"/>
        <v>#N/A</v>
      </c>
      <c r="N27" s="1" t="e">
        <f t="shared" si="4"/>
        <v>#N/A</v>
      </c>
      <c r="O27" s="1" t="e">
        <f t="shared" si="4"/>
        <v>#N/A</v>
      </c>
      <c r="P27" s="1" t="e">
        <f t="shared" si="4"/>
        <v>#N/A</v>
      </c>
      <c r="Q27" s="1" t="e">
        <f t="shared" si="4"/>
        <v>#N/A</v>
      </c>
      <c r="R27" s="1" t="e">
        <f t="shared" si="4"/>
        <v>#N/A</v>
      </c>
      <c r="S27" s="1" t="e">
        <f t="shared" si="4"/>
        <v>#N/A</v>
      </c>
      <c r="T27" s="1" t="e">
        <f t="shared" si="4"/>
        <v>#N/A</v>
      </c>
      <c r="U27" s="1" t="e">
        <f t="shared" si="4"/>
        <v>#N/A</v>
      </c>
      <c r="V27" s="1" t="e">
        <f t="shared" si="4"/>
        <v>#N/A</v>
      </c>
      <c r="W27" s="1" t="e">
        <f t="shared" si="4"/>
        <v>#N/A</v>
      </c>
      <c r="X27" s="1" t="e">
        <f t="shared" si="4"/>
        <v>#N/A</v>
      </c>
      <c r="Y27" s="1" t="e">
        <f t="shared" si="4"/>
        <v>#N/A</v>
      </c>
      <c r="Z27" s="1" t="e">
        <f t="shared" si="4"/>
        <v>#N/A</v>
      </c>
      <c r="AA27" s="1" t="e">
        <f t="shared" si="4"/>
        <v>#N/A</v>
      </c>
      <c r="AB27" s="1" t="e">
        <f t="shared" si="4"/>
        <v>#N/A</v>
      </c>
      <c r="AC27" s="1" t="e">
        <f t="shared" si="4"/>
        <v>#N/A</v>
      </c>
      <c r="AD27" s="1" t="e">
        <f t="shared" si="4"/>
        <v>#N/A</v>
      </c>
      <c r="AE27" s="1" t="e">
        <f t="shared" si="4"/>
        <v>#N/A</v>
      </c>
      <c r="AF27" s="1" t="e">
        <f t="shared" si="4"/>
        <v>#N/A</v>
      </c>
      <c r="AG27" s="1" t="e">
        <f t="shared" si="4"/>
        <v>#N/A</v>
      </c>
      <c r="AH27" s="1" t="e">
        <f t="shared" si="4"/>
        <v>#N/A</v>
      </c>
      <c r="AI27" s="1" t="e">
        <f t="shared" si="4"/>
        <v>#N/A</v>
      </c>
      <c r="AJ27" s="1" t="e">
        <f t="shared" si="4"/>
        <v>#N/A</v>
      </c>
      <c r="AK27" s="1" t="e">
        <f t="shared" si="4"/>
        <v>#N/A</v>
      </c>
      <c r="AL27" s="1" t="e">
        <f t="shared" si="4"/>
        <v>#N/A</v>
      </c>
      <c r="AM27" s="1" t="e">
        <f t="shared" si="4"/>
        <v>#N/A</v>
      </c>
      <c r="AN27" s="1" t="e">
        <f t="shared" si="4"/>
        <v>#N/A</v>
      </c>
      <c r="AO27" s="1">
        <f t="shared" si="4"/>
        <v>31</v>
      </c>
      <c r="AP27" s="1" t="e">
        <f t="shared" si="4"/>
        <v>#N/A</v>
      </c>
    </row>
    <row r="28" spans="4:42" ht="43.2" customHeight="1" x14ac:dyDescent="0.3">
      <c r="D28" s="1">
        <v>27</v>
      </c>
      <c r="E28" s="1">
        <v>30</v>
      </c>
      <c r="J28" s="2">
        <v>27</v>
      </c>
      <c r="K28" s="1" t="e">
        <f t="shared" si="2"/>
        <v>#N/A</v>
      </c>
      <c r="L28" s="1" t="e">
        <f t="shared" si="4"/>
        <v>#N/A</v>
      </c>
      <c r="M28" s="1" t="e">
        <f t="shared" si="4"/>
        <v>#N/A</v>
      </c>
      <c r="N28" s="1" t="e">
        <f t="shared" si="4"/>
        <v>#N/A</v>
      </c>
      <c r="O28" s="1" t="e">
        <f t="shared" si="4"/>
        <v>#N/A</v>
      </c>
      <c r="P28" s="1" t="e">
        <f t="shared" si="4"/>
        <v>#N/A</v>
      </c>
      <c r="Q28" s="1" t="e">
        <f t="shared" ref="L28:AP33" si="5">HLOOKUP(Q$1,$E28:$G28,1,FALSE)</f>
        <v>#N/A</v>
      </c>
      <c r="R28" s="1" t="e">
        <f t="shared" si="5"/>
        <v>#N/A</v>
      </c>
      <c r="S28" s="1" t="e">
        <f t="shared" si="5"/>
        <v>#N/A</v>
      </c>
      <c r="T28" s="1" t="e">
        <f t="shared" si="5"/>
        <v>#N/A</v>
      </c>
      <c r="U28" s="1" t="e">
        <f t="shared" si="5"/>
        <v>#N/A</v>
      </c>
      <c r="V28" s="1" t="e">
        <f t="shared" si="5"/>
        <v>#N/A</v>
      </c>
      <c r="W28" s="1" t="e">
        <f t="shared" si="5"/>
        <v>#N/A</v>
      </c>
      <c r="X28" s="1" t="e">
        <f t="shared" si="5"/>
        <v>#N/A</v>
      </c>
      <c r="Y28" s="1" t="e">
        <f t="shared" si="5"/>
        <v>#N/A</v>
      </c>
      <c r="Z28" s="1" t="e">
        <f t="shared" si="5"/>
        <v>#N/A</v>
      </c>
      <c r="AA28" s="1" t="e">
        <f t="shared" si="5"/>
        <v>#N/A</v>
      </c>
      <c r="AB28" s="1" t="e">
        <f t="shared" si="5"/>
        <v>#N/A</v>
      </c>
      <c r="AC28" s="1" t="e">
        <f t="shared" si="5"/>
        <v>#N/A</v>
      </c>
      <c r="AD28" s="1" t="e">
        <f t="shared" si="5"/>
        <v>#N/A</v>
      </c>
      <c r="AE28" s="1" t="e">
        <f t="shared" si="5"/>
        <v>#N/A</v>
      </c>
      <c r="AF28" s="1" t="e">
        <f t="shared" si="5"/>
        <v>#N/A</v>
      </c>
      <c r="AG28" s="1" t="e">
        <f t="shared" si="5"/>
        <v>#N/A</v>
      </c>
      <c r="AH28" s="1" t="e">
        <f t="shared" si="5"/>
        <v>#N/A</v>
      </c>
      <c r="AI28" s="1" t="e">
        <f t="shared" si="5"/>
        <v>#N/A</v>
      </c>
      <c r="AJ28" s="1" t="e">
        <f t="shared" si="5"/>
        <v>#N/A</v>
      </c>
      <c r="AK28" s="1" t="e">
        <f t="shared" si="5"/>
        <v>#N/A</v>
      </c>
      <c r="AL28" s="1" t="e">
        <f t="shared" si="5"/>
        <v>#N/A</v>
      </c>
      <c r="AM28" s="1" t="e">
        <f t="shared" si="5"/>
        <v>#N/A</v>
      </c>
      <c r="AN28" s="1">
        <f t="shared" si="5"/>
        <v>30</v>
      </c>
      <c r="AO28" s="1" t="e">
        <f t="shared" si="5"/>
        <v>#N/A</v>
      </c>
      <c r="AP28" s="1" t="e">
        <f t="shared" si="5"/>
        <v>#N/A</v>
      </c>
    </row>
    <row r="29" spans="4:42" ht="43.2" customHeight="1" x14ac:dyDescent="0.3">
      <c r="D29" s="1">
        <v>28</v>
      </c>
      <c r="E29" s="1">
        <v>30</v>
      </c>
      <c r="J29" s="2">
        <v>28</v>
      </c>
      <c r="K29" s="1" t="e">
        <f t="shared" si="2"/>
        <v>#N/A</v>
      </c>
      <c r="L29" s="1" t="e">
        <f t="shared" si="5"/>
        <v>#N/A</v>
      </c>
      <c r="M29" s="1" t="e">
        <f t="shared" si="5"/>
        <v>#N/A</v>
      </c>
      <c r="N29" s="1" t="e">
        <f t="shared" si="5"/>
        <v>#N/A</v>
      </c>
      <c r="O29" s="1" t="e">
        <f t="shared" si="5"/>
        <v>#N/A</v>
      </c>
      <c r="P29" s="1" t="e">
        <f t="shared" si="5"/>
        <v>#N/A</v>
      </c>
      <c r="Q29" s="1" t="e">
        <f t="shared" si="5"/>
        <v>#N/A</v>
      </c>
      <c r="R29" s="1" t="e">
        <f t="shared" si="5"/>
        <v>#N/A</v>
      </c>
      <c r="S29" s="1" t="e">
        <f t="shared" si="5"/>
        <v>#N/A</v>
      </c>
      <c r="T29" s="1" t="e">
        <f t="shared" si="5"/>
        <v>#N/A</v>
      </c>
      <c r="U29" s="1" t="e">
        <f t="shared" si="5"/>
        <v>#N/A</v>
      </c>
      <c r="V29" s="1" t="e">
        <f t="shared" si="5"/>
        <v>#N/A</v>
      </c>
      <c r="W29" s="1" t="e">
        <f t="shared" si="5"/>
        <v>#N/A</v>
      </c>
      <c r="X29" s="1" t="e">
        <f t="shared" si="5"/>
        <v>#N/A</v>
      </c>
      <c r="Y29" s="1" t="e">
        <f t="shared" si="5"/>
        <v>#N/A</v>
      </c>
      <c r="Z29" s="1" t="e">
        <f t="shared" si="5"/>
        <v>#N/A</v>
      </c>
      <c r="AA29" s="1" t="e">
        <f t="shared" si="5"/>
        <v>#N/A</v>
      </c>
      <c r="AB29" s="1" t="e">
        <f t="shared" si="5"/>
        <v>#N/A</v>
      </c>
      <c r="AC29" s="1" t="e">
        <f t="shared" si="5"/>
        <v>#N/A</v>
      </c>
      <c r="AD29" s="1" t="e">
        <f t="shared" si="5"/>
        <v>#N/A</v>
      </c>
      <c r="AE29" s="1" t="e">
        <f t="shared" si="5"/>
        <v>#N/A</v>
      </c>
      <c r="AF29" s="1" t="e">
        <f t="shared" si="5"/>
        <v>#N/A</v>
      </c>
      <c r="AG29" s="1" t="e">
        <f t="shared" si="5"/>
        <v>#N/A</v>
      </c>
      <c r="AH29" s="1" t="e">
        <f t="shared" si="5"/>
        <v>#N/A</v>
      </c>
      <c r="AI29" s="1" t="e">
        <f t="shared" si="5"/>
        <v>#N/A</v>
      </c>
      <c r="AJ29" s="1" t="e">
        <f t="shared" si="5"/>
        <v>#N/A</v>
      </c>
      <c r="AK29" s="1" t="e">
        <f t="shared" si="5"/>
        <v>#N/A</v>
      </c>
      <c r="AL29" s="1" t="e">
        <f t="shared" si="5"/>
        <v>#N/A</v>
      </c>
      <c r="AM29" s="1" t="e">
        <f t="shared" si="5"/>
        <v>#N/A</v>
      </c>
      <c r="AN29" s="1">
        <f t="shared" si="5"/>
        <v>30</v>
      </c>
      <c r="AO29" s="1" t="e">
        <f t="shared" si="5"/>
        <v>#N/A</v>
      </c>
      <c r="AP29" s="1" t="e">
        <f t="shared" si="5"/>
        <v>#N/A</v>
      </c>
    </row>
    <row r="30" spans="4:42" ht="43.2" customHeight="1" x14ac:dyDescent="0.3">
      <c r="D30" s="1">
        <v>29</v>
      </c>
      <c r="E30" s="1">
        <v>32</v>
      </c>
      <c r="J30" s="2">
        <v>29</v>
      </c>
      <c r="K30" s="1" t="e">
        <f t="shared" si="2"/>
        <v>#N/A</v>
      </c>
      <c r="L30" s="1" t="e">
        <f t="shared" si="5"/>
        <v>#N/A</v>
      </c>
      <c r="M30" s="1" t="e">
        <f t="shared" si="5"/>
        <v>#N/A</v>
      </c>
      <c r="N30" s="1" t="e">
        <f t="shared" si="5"/>
        <v>#N/A</v>
      </c>
      <c r="O30" s="1" t="e">
        <f t="shared" si="5"/>
        <v>#N/A</v>
      </c>
      <c r="P30" s="1" t="e">
        <f t="shared" si="5"/>
        <v>#N/A</v>
      </c>
      <c r="Q30" s="1" t="e">
        <f t="shared" si="5"/>
        <v>#N/A</v>
      </c>
      <c r="R30" s="1" t="e">
        <f t="shared" si="5"/>
        <v>#N/A</v>
      </c>
      <c r="S30" s="1" t="e">
        <f t="shared" si="5"/>
        <v>#N/A</v>
      </c>
      <c r="T30" s="1" t="e">
        <f t="shared" si="5"/>
        <v>#N/A</v>
      </c>
      <c r="U30" s="1" t="e">
        <f t="shared" si="5"/>
        <v>#N/A</v>
      </c>
      <c r="V30" s="1" t="e">
        <f t="shared" si="5"/>
        <v>#N/A</v>
      </c>
      <c r="W30" s="1" t="e">
        <f t="shared" si="5"/>
        <v>#N/A</v>
      </c>
      <c r="X30" s="1" t="e">
        <f t="shared" si="5"/>
        <v>#N/A</v>
      </c>
      <c r="Y30" s="1" t="e">
        <f t="shared" si="5"/>
        <v>#N/A</v>
      </c>
      <c r="Z30" s="1" t="e">
        <f t="shared" si="5"/>
        <v>#N/A</v>
      </c>
      <c r="AA30" s="1" t="e">
        <f t="shared" si="5"/>
        <v>#N/A</v>
      </c>
      <c r="AB30" s="1" t="e">
        <f t="shared" si="5"/>
        <v>#N/A</v>
      </c>
      <c r="AC30" s="1" t="e">
        <f t="shared" si="5"/>
        <v>#N/A</v>
      </c>
      <c r="AD30" s="1" t="e">
        <f t="shared" si="5"/>
        <v>#N/A</v>
      </c>
      <c r="AE30" s="1" t="e">
        <f t="shared" si="5"/>
        <v>#N/A</v>
      </c>
      <c r="AF30" s="1" t="e">
        <f t="shared" si="5"/>
        <v>#N/A</v>
      </c>
      <c r="AG30" s="1" t="e">
        <f t="shared" si="5"/>
        <v>#N/A</v>
      </c>
      <c r="AH30" s="1" t="e">
        <f t="shared" si="5"/>
        <v>#N/A</v>
      </c>
      <c r="AI30" s="1" t="e">
        <f t="shared" si="5"/>
        <v>#N/A</v>
      </c>
      <c r="AJ30" s="1" t="e">
        <f t="shared" si="5"/>
        <v>#N/A</v>
      </c>
      <c r="AK30" s="1" t="e">
        <f t="shared" si="5"/>
        <v>#N/A</v>
      </c>
      <c r="AL30" s="1" t="e">
        <f t="shared" si="5"/>
        <v>#N/A</v>
      </c>
      <c r="AM30" s="1" t="e">
        <f t="shared" si="5"/>
        <v>#N/A</v>
      </c>
      <c r="AN30" s="1" t="e">
        <f t="shared" si="5"/>
        <v>#N/A</v>
      </c>
      <c r="AO30" s="1" t="e">
        <f t="shared" si="5"/>
        <v>#N/A</v>
      </c>
      <c r="AP30" s="1">
        <f t="shared" si="5"/>
        <v>32</v>
      </c>
    </row>
    <row r="31" spans="4:42" ht="43.2" customHeight="1" x14ac:dyDescent="0.3">
      <c r="D31" s="1">
        <v>30</v>
      </c>
      <c r="E31" s="1">
        <v>32</v>
      </c>
      <c r="J31" s="2">
        <v>30</v>
      </c>
      <c r="K31" s="1" t="e">
        <f t="shared" si="2"/>
        <v>#N/A</v>
      </c>
      <c r="L31" s="1" t="e">
        <f t="shared" si="5"/>
        <v>#N/A</v>
      </c>
      <c r="M31" s="1" t="e">
        <f t="shared" si="5"/>
        <v>#N/A</v>
      </c>
      <c r="N31" s="1" t="e">
        <f t="shared" si="5"/>
        <v>#N/A</v>
      </c>
      <c r="O31" s="1" t="e">
        <f t="shared" si="5"/>
        <v>#N/A</v>
      </c>
      <c r="P31" s="1" t="e">
        <f t="shared" si="5"/>
        <v>#N/A</v>
      </c>
      <c r="Q31" s="1" t="e">
        <f t="shared" si="5"/>
        <v>#N/A</v>
      </c>
      <c r="R31" s="1" t="e">
        <f t="shared" si="5"/>
        <v>#N/A</v>
      </c>
      <c r="S31" s="1" t="e">
        <f t="shared" si="5"/>
        <v>#N/A</v>
      </c>
      <c r="T31" s="1" t="e">
        <f t="shared" si="5"/>
        <v>#N/A</v>
      </c>
      <c r="U31" s="1" t="e">
        <f t="shared" si="5"/>
        <v>#N/A</v>
      </c>
      <c r="V31" s="1" t="e">
        <f t="shared" si="5"/>
        <v>#N/A</v>
      </c>
      <c r="W31" s="1" t="e">
        <f t="shared" si="5"/>
        <v>#N/A</v>
      </c>
      <c r="X31" s="1" t="e">
        <f t="shared" si="5"/>
        <v>#N/A</v>
      </c>
      <c r="Y31" s="1" t="e">
        <f t="shared" si="5"/>
        <v>#N/A</v>
      </c>
      <c r="Z31" s="1" t="e">
        <f t="shared" si="5"/>
        <v>#N/A</v>
      </c>
      <c r="AA31" s="1" t="e">
        <f t="shared" si="5"/>
        <v>#N/A</v>
      </c>
      <c r="AB31" s="1" t="e">
        <f t="shared" si="5"/>
        <v>#N/A</v>
      </c>
      <c r="AC31" s="1" t="e">
        <f t="shared" si="5"/>
        <v>#N/A</v>
      </c>
      <c r="AD31" s="1" t="e">
        <f t="shared" si="5"/>
        <v>#N/A</v>
      </c>
      <c r="AE31" s="1" t="e">
        <f t="shared" si="5"/>
        <v>#N/A</v>
      </c>
      <c r="AF31" s="1" t="e">
        <f t="shared" si="5"/>
        <v>#N/A</v>
      </c>
      <c r="AG31" s="1" t="e">
        <f t="shared" si="5"/>
        <v>#N/A</v>
      </c>
      <c r="AH31" s="1" t="e">
        <f t="shared" si="5"/>
        <v>#N/A</v>
      </c>
      <c r="AI31" s="1" t="e">
        <f t="shared" si="5"/>
        <v>#N/A</v>
      </c>
      <c r="AJ31" s="1" t="e">
        <f t="shared" si="5"/>
        <v>#N/A</v>
      </c>
      <c r="AK31" s="1" t="e">
        <f t="shared" si="5"/>
        <v>#N/A</v>
      </c>
      <c r="AL31" s="1" t="e">
        <f t="shared" si="5"/>
        <v>#N/A</v>
      </c>
      <c r="AM31" s="1" t="e">
        <f t="shared" si="5"/>
        <v>#N/A</v>
      </c>
      <c r="AN31" s="1" t="e">
        <f t="shared" si="5"/>
        <v>#N/A</v>
      </c>
      <c r="AO31" s="1" t="e">
        <f t="shared" si="5"/>
        <v>#N/A</v>
      </c>
      <c r="AP31" s="1">
        <f t="shared" si="5"/>
        <v>32</v>
      </c>
    </row>
    <row r="32" spans="4:42" ht="43.2" customHeight="1" x14ac:dyDescent="0.3">
      <c r="D32" s="1">
        <v>31</v>
      </c>
      <c r="E32" s="1">
        <v>32</v>
      </c>
      <c r="J32" s="2">
        <v>31</v>
      </c>
      <c r="K32" s="1" t="e">
        <f t="shared" si="2"/>
        <v>#N/A</v>
      </c>
      <c r="L32" s="1" t="e">
        <f t="shared" si="5"/>
        <v>#N/A</v>
      </c>
      <c r="M32" s="1" t="e">
        <f t="shared" si="5"/>
        <v>#N/A</v>
      </c>
      <c r="N32" s="1" t="e">
        <f t="shared" si="5"/>
        <v>#N/A</v>
      </c>
      <c r="O32" s="1" t="e">
        <f t="shared" si="5"/>
        <v>#N/A</v>
      </c>
      <c r="P32" s="1" t="e">
        <f t="shared" si="5"/>
        <v>#N/A</v>
      </c>
      <c r="Q32" s="1" t="e">
        <f t="shared" si="5"/>
        <v>#N/A</v>
      </c>
      <c r="R32" s="1" t="e">
        <f t="shared" si="5"/>
        <v>#N/A</v>
      </c>
      <c r="S32" s="1" t="e">
        <f t="shared" si="5"/>
        <v>#N/A</v>
      </c>
      <c r="T32" s="1" t="e">
        <f t="shared" si="5"/>
        <v>#N/A</v>
      </c>
      <c r="U32" s="1" t="e">
        <f t="shared" si="5"/>
        <v>#N/A</v>
      </c>
      <c r="V32" s="1" t="e">
        <f t="shared" si="5"/>
        <v>#N/A</v>
      </c>
      <c r="W32" s="1" t="e">
        <f t="shared" si="5"/>
        <v>#N/A</v>
      </c>
      <c r="X32" s="1" t="e">
        <f t="shared" si="5"/>
        <v>#N/A</v>
      </c>
      <c r="Y32" s="1" t="e">
        <f t="shared" si="5"/>
        <v>#N/A</v>
      </c>
      <c r="Z32" s="1" t="e">
        <f t="shared" si="5"/>
        <v>#N/A</v>
      </c>
      <c r="AA32" s="1" t="e">
        <f t="shared" si="5"/>
        <v>#N/A</v>
      </c>
      <c r="AB32" s="1" t="e">
        <f t="shared" si="5"/>
        <v>#N/A</v>
      </c>
      <c r="AC32" s="1" t="e">
        <f t="shared" si="5"/>
        <v>#N/A</v>
      </c>
      <c r="AD32" s="1" t="e">
        <f t="shared" si="5"/>
        <v>#N/A</v>
      </c>
      <c r="AE32" s="1" t="e">
        <f t="shared" si="5"/>
        <v>#N/A</v>
      </c>
      <c r="AF32" s="1" t="e">
        <f t="shared" si="5"/>
        <v>#N/A</v>
      </c>
      <c r="AG32" s="1" t="e">
        <f t="shared" si="5"/>
        <v>#N/A</v>
      </c>
      <c r="AH32" s="1" t="e">
        <f t="shared" si="5"/>
        <v>#N/A</v>
      </c>
      <c r="AI32" s="1" t="e">
        <f t="shared" si="5"/>
        <v>#N/A</v>
      </c>
      <c r="AJ32" s="1" t="e">
        <f t="shared" si="5"/>
        <v>#N/A</v>
      </c>
      <c r="AK32" s="1" t="e">
        <f t="shared" si="5"/>
        <v>#N/A</v>
      </c>
      <c r="AL32" s="1" t="e">
        <f t="shared" si="5"/>
        <v>#N/A</v>
      </c>
      <c r="AM32" s="1" t="e">
        <f t="shared" si="5"/>
        <v>#N/A</v>
      </c>
      <c r="AN32" s="1" t="e">
        <f t="shared" si="5"/>
        <v>#N/A</v>
      </c>
      <c r="AO32" s="1" t="e">
        <f t="shared" si="5"/>
        <v>#N/A</v>
      </c>
      <c r="AP32" s="1">
        <f t="shared" si="5"/>
        <v>32</v>
      </c>
    </row>
    <row r="33" spans="4:42" ht="43.2" customHeight="1" x14ac:dyDescent="0.3">
      <c r="D33" s="1">
        <v>32</v>
      </c>
      <c r="J33" s="2">
        <v>32</v>
      </c>
      <c r="K33" s="1" t="e">
        <f t="shared" si="2"/>
        <v>#N/A</v>
      </c>
      <c r="L33" s="1" t="e">
        <f t="shared" si="5"/>
        <v>#N/A</v>
      </c>
      <c r="M33" s="1" t="e">
        <f t="shared" si="5"/>
        <v>#N/A</v>
      </c>
      <c r="N33" s="1" t="e">
        <f t="shared" si="5"/>
        <v>#N/A</v>
      </c>
      <c r="O33" s="1" t="e">
        <f t="shared" si="5"/>
        <v>#N/A</v>
      </c>
      <c r="P33" s="1" t="e">
        <f t="shared" si="5"/>
        <v>#N/A</v>
      </c>
      <c r="Q33" s="1" t="e">
        <f t="shared" si="5"/>
        <v>#N/A</v>
      </c>
      <c r="R33" s="1" t="e">
        <f t="shared" si="5"/>
        <v>#N/A</v>
      </c>
      <c r="S33" s="1" t="e">
        <f t="shared" si="5"/>
        <v>#N/A</v>
      </c>
      <c r="T33" s="1" t="e">
        <f t="shared" si="5"/>
        <v>#N/A</v>
      </c>
      <c r="U33" s="1" t="e">
        <f t="shared" si="5"/>
        <v>#N/A</v>
      </c>
      <c r="V33" s="1" t="e">
        <f t="shared" si="5"/>
        <v>#N/A</v>
      </c>
      <c r="W33" s="1" t="e">
        <f t="shared" si="5"/>
        <v>#N/A</v>
      </c>
      <c r="X33" s="1" t="e">
        <f t="shared" si="5"/>
        <v>#N/A</v>
      </c>
      <c r="Y33" s="1" t="e">
        <f t="shared" si="5"/>
        <v>#N/A</v>
      </c>
      <c r="Z33" s="1" t="e">
        <f t="shared" si="5"/>
        <v>#N/A</v>
      </c>
      <c r="AA33" s="1" t="e">
        <f t="shared" si="5"/>
        <v>#N/A</v>
      </c>
      <c r="AB33" s="1" t="e">
        <f t="shared" si="5"/>
        <v>#N/A</v>
      </c>
      <c r="AC33" s="1" t="e">
        <f t="shared" si="5"/>
        <v>#N/A</v>
      </c>
      <c r="AD33" s="1" t="e">
        <f t="shared" si="5"/>
        <v>#N/A</v>
      </c>
      <c r="AE33" s="1" t="e">
        <f t="shared" si="5"/>
        <v>#N/A</v>
      </c>
      <c r="AF33" s="1" t="e">
        <f t="shared" si="5"/>
        <v>#N/A</v>
      </c>
      <c r="AG33" s="1" t="e">
        <f t="shared" si="5"/>
        <v>#N/A</v>
      </c>
      <c r="AH33" s="1" t="e">
        <f t="shared" si="5"/>
        <v>#N/A</v>
      </c>
      <c r="AI33" s="1" t="e">
        <f t="shared" si="5"/>
        <v>#N/A</v>
      </c>
      <c r="AJ33" s="1" t="e">
        <f t="shared" si="5"/>
        <v>#N/A</v>
      </c>
      <c r="AK33" s="1" t="e">
        <f t="shared" si="5"/>
        <v>#N/A</v>
      </c>
      <c r="AL33" s="1" t="e">
        <f t="shared" si="5"/>
        <v>#N/A</v>
      </c>
      <c r="AM33" s="1" t="e">
        <f t="shared" si="5"/>
        <v>#N/A</v>
      </c>
      <c r="AN33" s="1" t="e">
        <f t="shared" si="5"/>
        <v>#N/A</v>
      </c>
      <c r="AO33" s="1" t="e">
        <f t="shared" si="5"/>
        <v>#N/A</v>
      </c>
      <c r="AP33" s="1" t="e">
        <f t="shared" si="5"/>
        <v>#N/A</v>
      </c>
    </row>
    <row r="35" spans="4:42" ht="43.2" customHeight="1" x14ac:dyDescent="0.3">
      <c r="D35" s="1" t="s">
        <v>1</v>
      </c>
    </row>
    <row r="36" spans="4:42" ht="43.2" customHeight="1" x14ac:dyDescent="0.3">
      <c r="D36" s="1" t="s">
        <v>4</v>
      </c>
      <c r="E36" s="1" t="s">
        <v>6</v>
      </c>
      <c r="F36" s="1" t="s">
        <v>7</v>
      </c>
      <c r="G36" s="1" t="s">
        <v>9</v>
      </c>
      <c r="H36" s="1" t="s">
        <v>10</v>
      </c>
      <c r="I36" s="1" t="s">
        <v>11</v>
      </c>
      <c r="J36" s="1" t="s">
        <v>12</v>
      </c>
      <c r="L36" s="1" t="s">
        <v>17</v>
      </c>
    </row>
    <row r="37" spans="4:42" ht="43.2" customHeight="1" x14ac:dyDescent="0.3">
      <c r="M37" s="1" t="s">
        <v>8</v>
      </c>
      <c r="N37" s="1">
        <v>1</v>
      </c>
      <c r="O37" s="1" t="s">
        <v>8</v>
      </c>
      <c r="P37" s="1">
        <v>2</v>
      </c>
      <c r="Q37" s="1" t="s">
        <v>8</v>
      </c>
      <c r="R37" s="1">
        <v>3</v>
      </c>
      <c r="S37" s="1" t="s">
        <v>8</v>
      </c>
      <c r="T37" s="1">
        <v>4</v>
      </c>
    </row>
    <row r="38" spans="4:42" ht="43.2" customHeight="1" x14ac:dyDescent="0.3">
      <c r="D38" s="1">
        <v>1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M38" s="1">
        <v>13</v>
      </c>
      <c r="N38" s="1">
        <v>17</v>
      </c>
      <c r="O38" s="1">
        <v>19</v>
      </c>
      <c r="P38" s="1">
        <v>14</v>
      </c>
    </row>
    <row r="39" spans="4:42" ht="43.2" customHeight="1" x14ac:dyDescent="0.3">
      <c r="D39" s="1">
        <v>2</v>
      </c>
      <c r="E39" s="1">
        <v>1</v>
      </c>
      <c r="F39" s="1">
        <v>10</v>
      </c>
      <c r="G39" s="1">
        <v>8</v>
      </c>
      <c r="H39" s="1">
        <v>0</v>
      </c>
      <c r="I39" s="1">
        <v>4</v>
      </c>
      <c r="J39" s="1">
        <v>4</v>
      </c>
    </row>
    <row r="40" spans="4:42" ht="43.2" customHeight="1" x14ac:dyDescent="0.3">
      <c r="D40" s="1">
        <v>3</v>
      </c>
      <c r="E40" s="1">
        <v>1</v>
      </c>
      <c r="F40" s="1">
        <v>8</v>
      </c>
      <c r="G40" s="1">
        <v>6</v>
      </c>
      <c r="H40" s="1">
        <v>3</v>
      </c>
      <c r="I40" s="1">
        <v>0</v>
      </c>
      <c r="J40" s="1">
        <v>7</v>
      </c>
    </row>
    <row r="41" spans="4:42" ht="43.2" customHeight="1" x14ac:dyDescent="0.3">
      <c r="D41" s="1">
        <v>4</v>
      </c>
      <c r="E41" s="1">
        <v>1</v>
      </c>
      <c r="F41" s="1">
        <v>8</v>
      </c>
      <c r="G41" s="1">
        <v>7</v>
      </c>
      <c r="H41" s="1">
        <v>3</v>
      </c>
      <c r="I41" s="1">
        <v>3</v>
      </c>
      <c r="J41" s="1">
        <v>8</v>
      </c>
    </row>
    <row r="42" spans="4:42" ht="43.2" customHeight="1" x14ac:dyDescent="0.3">
      <c r="D42" s="1">
        <v>5</v>
      </c>
      <c r="E42" s="1">
        <v>1</v>
      </c>
      <c r="F42" s="1">
        <v>4</v>
      </c>
      <c r="G42" s="1">
        <v>7</v>
      </c>
      <c r="H42" s="1">
        <v>1</v>
      </c>
      <c r="I42" s="1">
        <v>6</v>
      </c>
      <c r="J42" s="1">
        <v>10</v>
      </c>
    </row>
    <row r="43" spans="4:42" ht="43.2" customHeight="1" x14ac:dyDescent="0.3">
      <c r="D43" s="1">
        <v>6</v>
      </c>
      <c r="E43" s="1">
        <v>1</v>
      </c>
      <c r="F43" s="1">
        <v>3</v>
      </c>
      <c r="G43" s="1">
        <v>6</v>
      </c>
      <c r="H43" s="1">
        <v>2</v>
      </c>
      <c r="I43" s="1">
        <v>0</v>
      </c>
      <c r="J43" s="1">
        <v>10</v>
      </c>
    </row>
    <row r="44" spans="4:42" ht="43.2" customHeight="1" x14ac:dyDescent="0.3">
      <c r="D44" s="1">
        <v>7</v>
      </c>
      <c r="E44" s="1">
        <v>1</v>
      </c>
      <c r="F44" s="1">
        <v>3</v>
      </c>
      <c r="G44" s="1">
        <v>0</v>
      </c>
      <c r="H44" s="1">
        <v>1</v>
      </c>
      <c r="I44" s="1">
        <v>0</v>
      </c>
      <c r="J44" s="1">
        <v>3</v>
      </c>
    </row>
    <row r="45" spans="4:42" ht="43.2" customHeight="1" x14ac:dyDescent="0.3">
      <c r="D45" s="1">
        <v>8</v>
      </c>
      <c r="E45" s="1">
        <v>1</v>
      </c>
      <c r="F45" s="1">
        <v>2</v>
      </c>
      <c r="G45" s="1">
        <v>8</v>
      </c>
      <c r="H45" s="1">
        <v>3</v>
      </c>
      <c r="I45" s="1">
        <v>5</v>
      </c>
      <c r="J45" s="1">
        <v>8</v>
      </c>
    </row>
    <row r="46" spans="4:42" ht="43.2" customHeight="1" x14ac:dyDescent="0.3">
      <c r="D46" s="1">
        <v>9</v>
      </c>
      <c r="E46" s="1">
        <v>1</v>
      </c>
      <c r="F46" s="1">
        <v>2</v>
      </c>
      <c r="G46" s="1">
        <v>8</v>
      </c>
      <c r="H46" s="1">
        <v>2</v>
      </c>
      <c r="I46" s="1">
        <v>1</v>
      </c>
      <c r="J46" s="1">
        <v>2</v>
      </c>
    </row>
    <row r="47" spans="4:42" ht="43.2" customHeight="1" x14ac:dyDescent="0.3">
      <c r="D47" s="1">
        <v>10</v>
      </c>
      <c r="E47" s="1">
        <v>1</v>
      </c>
      <c r="F47" s="1">
        <v>4</v>
      </c>
      <c r="G47" s="1">
        <v>0</v>
      </c>
      <c r="H47" s="1">
        <v>8</v>
      </c>
      <c r="I47" s="1">
        <v>10</v>
      </c>
      <c r="J47" s="1">
        <v>0</v>
      </c>
    </row>
    <row r="48" spans="4:42" ht="43.2" customHeight="1" x14ac:dyDescent="0.3">
      <c r="D48" s="1">
        <v>11</v>
      </c>
      <c r="E48" s="1">
        <v>1</v>
      </c>
      <c r="F48" s="1">
        <v>10</v>
      </c>
      <c r="G48" s="1">
        <v>0</v>
      </c>
      <c r="H48" s="1">
        <v>1</v>
      </c>
      <c r="I48" s="1">
        <v>10</v>
      </c>
      <c r="J48" s="1">
        <v>0</v>
      </c>
    </row>
    <row r="49" spans="4:10" ht="43.2" customHeight="1" x14ac:dyDescent="0.3">
      <c r="D49" s="1">
        <v>12</v>
      </c>
      <c r="E49" s="1">
        <v>1</v>
      </c>
      <c r="F49" s="1">
        <v>9</v>
      </c>
      <c r="G49" s="1">
        <v>0</v>
      </c>
      <c r="H49" s="1">
        <v>4</v>
      </c>
      <c r="I49" s="1">
        <v>5</v>
      </c>
      <c r="J49" s="1">
        <v>0</v>
      </c>
    </row>
    <row r="50" spans="4:10" ht="43.2" customHeight="1" x14ac:dyDescent="0.3">
      <c r="D50" s="1">
        <v>13</v>
      </c>
      <c r="E50" s="1">
        <v>1</v>
      </c>
      <c r="F50" s="1">
        <v>10</v>
      </c>
      <c r="G50" s="1">
        <v>3</v>
      </c>
      <c r="H50" s="1">
        <v>0</v>
      </c>
      <c r="I50" s="1">
        <v>4</v>
      </c>
      <c r="J50" s="1">
        <v>8</v>
      </c>
    </row>
    <row r="51" spans="4:10" ht="43.2" customHeight="1" x14ac:dyDescent="0.3">
      <c r="D51" s="1">
        <v>14</v>
      </c>
      <c r="E51" s="1">
        <v>1</v>
      </c>
      <c r="F51" s="1">
        <v>9</v>
      </c>
      <c r="G51" s="1">
        <v>4</v>
      </c>
      <c r="H51" s="1">
        <v>6</v>
      </c>
      <c r="I51" s="1">
        <v>9</v>
      </c>
      <c r="J51" s="1">
        <v>3</v>
      </c>
    </row>
    <row r="52" spans="4:10" ht="43.2" customHeight="1" x14ac:dyDescent="0.3">
      <c r="D52" s="1">
        <v>15</v>
      </c>
      <c r="E52" s="1">
        <v>1</v>
      </c>
      <c r="F52" s="1">
        <v>10</v>
      </c>
      <c r="G52" s="1">
        <v>0</v>
      </c>
      <c r="H52" s="1">
        <v>10</v>
      </c>
      <c r="I52" s="1">
        <v>7</v>
      </c>
      <c r="J52" s="1">
        <v>0</v>
      </c>
    </row>
    <row r="53" spans="4:10" ht="43.2" customHeight="1" x14ac:dyDescent="0.3">
      <c r="D53" s="1">
        <v>16</v>
      </c>
      <c r="E53" s="1">
        <v>1</v>
      </c>
      <c r="F53" s="1">
        <v>5</v>
      </c>
      <c r="G53" s="1">
        <v>6</v>
      </c>
      <c r="H53" s="1">
        <v>0</v>
      </c>
      <c r="I53" s="1">
        <v>5</v>
      </c>
      <c r="J53" s="1">
        <v>0</v>
      </c>
    </row>
    <row r="54" spans="4:10" ht="43.2" customHeight="1" x14ac:dyDescent="0.3">
      <c r="D54" s="1">
        <v>17</v>
      </c>
      <c r="E54" s="1">
        <v>1</v>
      </c>
      <c r="F54" s="1">
        <v>2</v>
      </c>
      <c r="G54" s="1">
        <v>9</v>
      </c>
      <c r="H54" s="1">
        <v>0</v>
      </c>
      <c r="I54" s="1">
        <v>8</v>
      </c>
      <c r="J54" s="1">
        <v>0</v>
      </c>
    </row>
    <row r="55" spans="4:10" ht="43.2" customHeight="1" x14ac:dyDescent="0.3">
      <c r="D55" s="1">
        <v>18</v>
      </c>
      <c r="E55" s="1">
        <v>1</v>
      </c>
      <c r="F55" s="1">
        <v>2</v>
      </c>
      <c r="G55" s="1">
        <v>1</v>
      </c>
      <c r="H55" s="1">
        <v>10</v>
      </c>
      <c r="I55" s="1">
        <v>4</v>
      </c>
      <c r="J55" s="1">
        <v>9</v>
      </c>
    </row>
    <row r="56" spans="4:10" ht="43.2" customHeight="1" x14ac:dyDescent="0.3">
      <c r="D56" s="1">
        <v>19</v>
      </c>
      <c r="E56" s="1">
        <v>1</v>
      </c>
      <c r="F56" s="1">
        <v>3</v>
      </c>
      <c r="G56" s="1">
        <v>7</v>
      </c>
      <c r="H56" s="1">
        <v>5</v>
      </c>
      <c r="I56" s="1">
        <v>3</v>
      </c>
      <c r="J56" s="1">
        <v>0</v>
      </c>
    </row>
    <row r="57" spans="4:10" ht="43.2" customHeight="1" x14ac:dyDescent="0.3">
      <c r="D57" s="1">
        <v>20</v>
      </c>
      <c r="E57" s="1">
        <v>1</v>
      </c>
      <c r="F57" s="1">
        <v>3</v>
      </c>
      <c r="G57" s="1">
        <v>7</v>
      </c>
      <c r="H57" s="1">
        <v>6</v>
      </c>
      <c r="I57" s="1">
        <v>4</v>
      </c>
      <c r="J57" s="1">
        <v>9</v>
      </c>
    </row>
    <row r="58" spans="4:10" ht="43.2" customHeight="1" x14ac:dyDescent="0.3">
      <c r="D58" s="1">
        <v>21</v>
      </c>
      <c r="E58" s="1">
        <v>1</v>
      </c>
      <c r="F58" s="1">
        <v>5</v>
      </c>
      <c r="G58" s="1">
        <v>4</v>
      </c>
      <c r="H58" s="1">
        <v>8</v>
      </c>
      <c r="I58" s="1">
        <v>9</v>
      </c>
      <c r="J58" s="1">
        <v>0</v>
      </c>
    </row>
    <row r="59" spans="4:10" ht="43.2" customHeight="1" x14ac:dyDescent="0.3">
      <c r="D59" s="1">
        <v>22</v>
      </c>
      <c r="E59" s="1">
        <v>1</v>
      </c>
      <c r="F59" s="1">
        <v>2</v>
      </c>
      <c r="G59" s="1">
        <v>4</v>
      </c>
      <c r="H59" s="1">
        <v>7</v>
      </c>
      <c r="I59" s="1">
        <v>9</v>
      </c>
      <c r="J59" s="1">
        <v>8</v>
      </c>
    </row>
    <row r="60" spans="4:10" ht="43.2" customHeight="1" x14ac:dyDescent="0.3">
      <c r="D60" s="1">
        <v>23</v>
      </c>
      <c r="E60" s="1">
        <v>1</v>
      </c>
      <c r="F60" s="1">
        <v>7</v>
      </c>
      <c r="G60" s="1">
        <v>0</v>
      </c>
      <c r="H60" s="1">
        <v>9</v>
      </c>
      <c r="I60" s="1">
        <v>0</v>
      </c>
      <c r="J60" s="1">
        <v>6</v>
      </c>
    </row>
    <row r="61" spans="4:10" ht="43.2" customHeight="1" x14ac:dyDescent="0.3">
      <c r="D61" s="1">
        <v>24</v>
      </c>
      <c r="E61" s="1">
        <v>1</v>
      </c>
      <c r="F61" s="1">
        <v>7</v>
      </c>
      <c r="G61" s="1">
        <v>1</v>
      </c>
      <c r="H61" s="1">
        <v>10</v>
      </c>
      <c r="I61" s="1">
        <v>10</v>
      </c>
      <c r="J61" s="1">
        <v>0</v>
      </c>
    </row>
    <row r="62" spans="4:10" ht="43.2" customHeight="1" x14ac:dyDescent="0.3">
      <c r="D62" s="1">
        <v>25</v>
      </c>
      <c r="E62" s="1">
        <v>1</v>
      </c>
      <c r="F62" s="1">
        <v>4</v>
      </c>
      <c r="G62" s="1">
        <v>0</v>
      </c>
      <c r="H62" s="1">
        <v>4</v>
      </c>
      <c r="I62" s="1">
        <v>7</v>
      </c>
      <c r="J62" s="1">
        <v>9</v>
      </c>
    </row>
    <row r="63" spans="4:10" ht="43.2" customHeight="1" x14ac:dyDescent="0.3">
      <c r="D63" s="1">
        <v>26</v>
      </c>
      <c r="E63" s="1">
        <v>1</v>
      </c>
      <c r="F63" s="1">
        <v>7</v>
      </c>
      <c r="G63" s="1">
        <v>6</v>
      </c>
      <c r="H63" s="1">
        <v>0</v>
      </c>
      <c r="I63" s="1">
        <v>1</v>
      </c>
      <c r="J63" s="1">
        <v>1</v>
      </c>
    </row>
    <row r="64" spans="4:10" ht="43.2" customHeight="1" x14ac:dyDescent="0.3">
      <c r="D64" s="1">
        <v>27</v>
      </c>
      <c r="E64" s="1">
        <v>1</v>
      </c>
      <c r="F64" s="1">
        <v>6</v>
      </c>
      <c r="G64" s="1">
        <v>1</v>
      </c>
      <c r="H64" s="1">
        <v>8</v>
      </c>
      <c r="I64" s="1">
        <v>8</v>
      </c>
      <c r="J64" s="1">
        <v>10</v>
      </c>
    </row>
    <row r="65" spans="3:10" ht="43.2" customHeight="1" x14ac:dyDescent="0.3">
      <c r="D65" s="1">
        <v>28</v>
      </c>
      <c r="E65" s="1">
        <v>1</v>
      </c>
      <c r="F65" s="1">
        <v>5</v>
      </c>
      <c r="G65" s="1">
        <v>7</v>
      </c>
      <c r="H65" s="1">
        <v>4</v>
      </c>
      <c r="I65" s="1">
        <v>8</v>
      </c>
      <c r="J65" s="1">
        <v>0</v>
      </c>
    </row>
    <row r="66" spans="3:10" ht="43.2" customHeight="1" x14ac:dyDescent="0.3">
      <c r="D66" s="1">
        <v>29</v>
      </c>
      <c r="E66" s="1">
        <v>1</v>
      </c>
      <c r="F66" s="1">
        <v>3</v>
      </c>
      <c r="G66" s="1">
        <v>0</v>
      </c>
      <c r="H66" s="1">
        <v>7</v>
      </c>
      <c r="I66" s="1">
        <v>10</v>
      </c>
      <c r="J66" s="1">
        <v>9</v>
      </c>
    </row>
    <row r="67" spans="3:10" ht="43.2" customHeight="1" x14ac:dyDescent="0.3">
      <c r="D67" s="1">
        <v>30</v>
      </c>
      <c r="E67" s="1">
        <v>1</v>
      </c>
      <c r="F67" s="1">
        <v>8</v>
      </c>
      <c r="G67" s="1">
        <v>4</v>
      </c>
      <c r="H67" s="1">
        <v>0</v>
      </c>
      <c r="I67" s="1">
        <v>6</v>
      </c>
      <c r="J67" s="1">
        <v>1</v>
      </c>
    </row>
    <row r="68" spans="3:10" ht="43.2" customHeight="1" x14ac:dyDescent="0.3">
      <c r="D68" s="1">
        <v>31</v>
      </c>
      <c r="E68" s="1">
        <v>1</v>
      </c>
      <c r="F68" s="1">
        <v>5</v>
      </c>
      <c r="G68" s="1">
        <v>9</v>
      </c>
      <c r="H68" s="1">
        <v>5</v>
      </c>
      <c r="I68" s="1">
        <v>0</v>
      </c>
      <c r="J68" s="1">
        <v>1</v>
      </c>
    </row>
    <row r="69" spans="3:10" ht="43.2" customHeight="1" x14ac:dyDescent="0.3">
      <c r="D69" s="1">
        <v>32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3:10" ht="43.2" customHeight="1" x14ac:dyDescent="0.3">
      <c r="C70" s="1" t="s">
        <v>2</v>
      </c>
    </row>
    <row r="71" spans="3:10" ht="43.2" customHeight="1" x14ac:dyDescent="0.3">
      <c r="C7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30A1-E0B7-4966-A2FC-D841DDEB7F1C}">
  <dimension ref="A1:AY65"/>
  <sheetViews>
    <sheetView tabSelected="1" topLeftCell="AE1" zoomScale="70" zoomScaleNormal="70" workbookViewId="0">
      <selection activeCell="AU6" sqref="AU6:AU65"/>
    </sheetView>
  </sheetViews>
  <sheetFormatPr defaultColWidth="27.5546875" defaultRowHeight="43.2" customHeight="1" x14ac:dyDescent="0.3"/>
  <cols>
    <col min="1" max="16384" width="27.5546875" style="3"/>
  </cols>
  <sheetData>
    <row r="1" spans="1:51" ht="43.2" customHeight="1" x14ac:dyDescent="0.3">
      <c r="A1" s="12" t="s">
        <v>90</v>
      </c>
      <c r="L1" s="14" cm="1">
        <f t="array" ref="L1">INDEX($D$4:$D$1048576, (ROW()-1)*3+1)</f>
        <v>0</v>
      </c>
      <c r="M1" s="14" cm="1">
        <f t="array" ref="M1">INDEX($D$4:$D$1048576, (ROW()-1)*3+2)</f>
        <v>0</v>
      </c>
      <c r="N1" s="14" cm="1">
        <f t="array" ref="N1">INDEX($D$4:$D$1048576, (ROW()-1)*3+1)</f>
        <v>0</v>
      </c>
    </row>
    <row r="2" spans="1:51" ht="43.2" customHeight="1" x14ac:dyDescent="0.3">
      <c r="A2" s="3">
        <f>MAX(AT4:AT50)</f>
        <v>2</v>
      </c>
      <c r="L2" s="14"/>
      <c r="M2" s="14"/>
      <c r="N2" s="14"/>
    </row>
    <row r="3" spans="1:51" s="12" customFormat="1" ht="43.2" customHeight="1" x14ac:dyDescent="0.3">
      <c r="B3" s="12" t="s">
        <v>67</v>
      </c>
      <c r="C3" s="12" t="s">
        <v>68</v>
      </c>
      <c r="D3" s="12" t="s">
        <v>69</v>
      </c>
      <c r="E3" s="12" t="s">
        <v>58</v>
      </c>
      <c r="F3" s="12" t="s">
        <v>59</v>
      </c>
      <c r="G3" s="12" t="s">
        <v>60</v>
      </c>
      <c r="H3" s="12" t="s">
        <v>61</v>
      </c>
      <c r="I3" s="12" t="s">
        <v>73</v>
      </c>
      <c r="J3" s="12" t="s">
        <v>74</v>
      </c>
      <c r="L3" s="14" t="s">
        <v>94</v>
      </c>
      <c r="M3" s="14"/>
      <c r="N3" s="14"/>
      <c r="Q3" s="12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2">
        <v>8</v>
      </c>
      <c r="Y3" s="12">
        <v>9</v>
      </c>
      <c r="Z3" s="12">
        <v>10</v>
      </c>
      <c r="AB3" s="12" t="s">
        <v>78</v>
      </c>
      <c r="AC3" s="12" t="s">
        <v>17</v>
      </c>
      <c r="AE3" s="12" t="s">
        <v>77</v>
      </c>
      <c r="AF3" s="12" t="s">
        <v>17</v>
      </c>
      <c r="AH3" s="13" t="s">
        <v>81</v>
      </c>
      <c r="AI3" s="13"/>
      <c r="AJ3" s="13"/>
      <c r="AK3" s="13"/>
    </row>
    <row r="4" spans="1:51" ht="43.2" customHeight="1" x14ac:dyDescent="0.3">
      <c r="A4" s="12" t="s">
        <v>75</v>
      </c>
      <c r="B4" s="3">
        <v>1</v>
      </c>
      <c r="C4" s="3">
        <v>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1</v>
      </c>
      <c r="L4" s="14">
        <v>0</v>
      </c>
      <c r="M4" s="14">
        <v>0</v>
      </c>
      <c r="N4" s="14">
        <v>0</v>
      </c>
      <c r="P4" s="3">
        <v>1</v>
      </c>
      <c r="Q4" s="3">
        <v>0</v>
      </c>
      <c r="R4" s="3">
        <v>1</v>
      </c>
      <c r="S4" s="3">
        <v>1</v>
      </c>
      <c r="T4" s="3">
        <v>1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B4" s="3">
        <v>1</v>
      </c>
      <c r="AC4" s="3">
        <v>9</v>
      </c>
      <c r="AE4" s="3">
        <v>1</v>
      </c>
      <c r="AF4" s="3">
        <v>41</v>
      </c>
    </row>
    <row r="5" spans="1:51" ht="43.2" customHeight="1" x14ac:dyDescent="0.3">
      <c r="A5" s="3">
        <f>MAX(B4:B50)</f>
        <v>10</v>
      </c>
      <c r="B5" s="3">
        <v>1</v>
      </c>
      <c r="C5" s="3">
        <v>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L5" s="14">
        <v>7</v>
      </c>
      <c r="M5" s="14">
        <v>8</v>
      </c>
      <c r="N5" s="14">
        <v>7</v>
      </c>
      <c r="P5" s="3">
        <v>2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B5" s="3">
        <v>2</v>
      </c>
      <c r="AC5" s="3">
        <v>9</v>
      </c>
      <c r="AE5" s="3">
        <v>2</v>
      </c>
      <c r="AF5" s="3">
        <v>49</v>
      </c>
      <c r="AH5" s="3" t="s">
        <v>82</v>
      </c>
      <c r="AI5" s="3" t="s">
        <v>83</v>
      </c>
      <c r="AJ5" s="3" t="s">
        <v>84</v>
      </c>
      <c r="AK5" s="3" t="s">
        <v>85</v>
      </c>
      <c r="AM5" s="3" t="s">
        <v>82</v>
      </c>
      <c r="AN5" s="3" t="s">
        <v>83</v>
      </c>
      <c r="AO5" s="3" t="s">
        <v>87</v>
      </c>
      <c r="AP5" s="3" t="s">
        <v>86</v>
      </c>
      <c r="AR5" s="3" t="s">
        <v>82</v>
      </c>
      <c r="AS5" s="3" t="s">
        <v>83</v>
      </c>
      <c r="AT5" s="3" t="s">
        <v>88</v>
      </c>
      <c r="AU5" s="3" t="s">
        <v>89</v>
      </c>
      <c r="AX5" s="3" t="s">
        <v>91</v>
      </c>
      <c r="AY5" s="3">
        <v>1</v>
      </c>
    </row>
    <row r="6" spans="1:51" ht="43.2" customHeight="1" x14ac:dyDescent="0.3">
      <c r="B6" s="3">
        <v>1</v>
      </c>
      <c r="C6" s="3">
        <v>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L6" s="14">
        <v>1</v>
      </c>
      <c r="M6" s="14">
        <v>2</v>
      </c>
      <c r="N6" s="14">
        <v>1</v>
      </c>
      <c r="P6" s="3">
        <v>3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</v>
      </c>
      <c r="X6" s="3">
        <v>0</v>
      </c>
      <c r="Y6" s="3">
        <v>0</v>
      </c>
      <c r="Z6" s="3">
        <v>0</v>
      </c>
      <c r="AF6" s="3">
        <f>COUNTIF(AI4:AI5,3)</f>
        <v>0</v>
      </c>
      <c r="AG6" s="3">
        <v>1</v>
      </c>
      <c r="AH6" s="3">
        <v>1</v>
      </c>
      <c r="AI6" s="3">
        <v>1</v>
      </c>
      <c r="AJ6" s="3">
        <v>1</v>
      </c>
      <c r="AK6" s="3" cm="1">
        <f t="array" ref="AK6:AK65">_xlfn.TOCOL(E4:F33,1)</f>
        <v>0</v>
      </c>
      <c r="AM6" s="3">
        <v>1</v>
      </c>
      <c r="AN6" s="3">
        <v>1</v>
      </c>
      <c r="AO6" s="3">
        <v>1</v>
      </c>
      <c r="AP6" s="3" cm="1">
        <f t="array" ref="AP6:AP65">_xlfn.TOCOL(G4:H33,0)</f>
        <v>0</v>
      </c>
      <c r="AR6" s="3">
        <v>1</v>
      </c>
      <c r="AS6" s="3">
        <v>1</v>
      </c>
      <c r="AT6" s="3">
        <v>1</v>
      </c>
      <c r="AU6" s="3" cm="1">
        <f t="array" ref="AU6:AU65">_xlfn.TOCOL(I4:J33,0)</f>
        <v>1</v>
      </c>
      <c r="AX6" s="3" t="s">
        <v>92</v>
      </c>
      <c r="AY6" s="3">
        <v>0</v>
      </c>
    </row>
    <row r="7" spans="1:51" ht="43.2" customHeight="1" x14ac:dyDescent="0.3">
      <c r="A7" s="12" t="s">
        <v>76</v>
      </c>
      <c r="B7" s="3">
        <v>2</v>
      </c>
      <c r="C7" s="3">
        <v>1</v>
      </c>
      <c r="D7" s="3">
        <v>7</v>
      </c>
      <c r="E7" s="3">
        <v>10</v>
      </c>
      <c r="F7" s="3">
        <v>0</v>
      </c>
      <c r="G7" s="3">
        <v>10</v>
      </c>
      <c r="H7" s="3">
        <v>0</v>
      </c>
      <c r="I7" s="3">
        <v>0</v>
      </c>
      <c r="J7" s="3">
        <v>1</v>
      </c>
      <c r="L7" s="14">
        <v>8</v>
      </c>
      <c r="M7" s="14">
        <v>9</v>
      </c>
      <c r="N7" s="14">
        <v>8</v>
      </c>
      <c r="P7" s="3">
        <v>4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F7" s="3">
        <f t="shared" ref="AF7:AF53" si="0">COUNTIF(AI5:AI6,3)</f>
        <v>0</v>
      </c>
      <c r="AG7" s="3">
        <v>1</v>
      </c>
      <c r="AH7" s="3">
        <v>1</v>
      </c>
      <c r="AI7" s="3">
        <v>1</v>
      </c>
      <c r="AJ7" s="3">
        <v>2</v>
      </c>
      <c r="AK7" s="3">
        <v>0</v>
      </c>
      <c r="AM7" s="3">
        <v>1</v>
      </c>
      <c r="AN7" s="3">
        <v>1</v>
      </c>
      <c r="AO7" s="3">
        <v>2</v>
      </c>
      <c r="AP7" s="3">
        <v>0</v>
      </c>
      <c r="AR7" s="3">
        <v>1</v>
      </c>
      <c r="AS7" s="3">
        <v>1</v>
      </c>
      <c r="AT7" s="3">
        <v>2</v>
      </c>
      <c r="AU7" s="3">
        <v>1</v>
      </c>
      <c r="AX7" s="3" t="s">
        <v>93</v>
      </c>
      <c r="AY7" s="3">
        <v>1</v>
      </c>
    </row>
    <row r="8" spans="1:51" ht="43.2" customHeight="1" x14ac:dyDescent="0.3">
      <c r="A8" s="3">
        <f>MAX(C4:C50)</f>
        <v>3</v>
      </c>
      <c r="B8" s="3">
        <v>2</v>
      </c>
      <c r="C8" s="3">
        <v>2</v>
      </c>
      <c r="D8" s="3">
        <v>8</v>
      </c>
      <c r="E8" s="3">
        <v>6</v>
      </c>
      <c r="F8" s="3">
        <v>0</v>
      </c>
      <c r="G8" s="3">
        <v>9</v>
      </c>
      <c r="H8" s="3">
        <v>0</v>
      </c>
      <c r="I8" s="3">
        <v>1</v>
      </c>
      <c r="J8" s="3">
        <v>0</v>
      </c>
      <c r="L8" s="14">
        <v>1</v>
      </c>
      <c r="M8" s="14">
        <v>8</v>
      </c>
      <c r="N8" s="14">
        <v>1</v>
      </c>
      <c r="P8" s="3">
        <v>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>
        <v>0</v>
      </c>
      <c r="X8" s="3">
        <v>0</v>
      </c>
      <c r="Y8" s="3">
        <v>0</v>
      </c>
      <c r="Z8" s="3">
        <v>1</v>
      </c>
      <c r="AF8" s="3">
        <f t="shared" si="0"/>
        <v>0</v>
      </c>
      <c r="AG8" s="3">
        <f>IF(AF8=2,AG7+1,AG7)</f>
        <v>1</v>
      </c>
      <c r="AH8" s="3">
        <v>1</v>
      </c>
      <c r="AI8" s="3">
        <v>2</v>
      </c>
      <c r="AJ8" s="3">
        <v>1</v>
      </c>
      <c r="AK8" s="3">
        <v>0</v>
      </c>
      <c r="AM8" s="3">
        <v>1</v>
      </c>
      <c r="AN8" s="3">
        <v>2</v>
      </c>
      <c r="AO8" s="3">
        <v>1</v>
      </c>
      <c r="AP8" s="3">
        <v>0</v>
      </c>
      <c r="AR8" s="3">
        <v>1</v>
      </c>
      <c r="AS8" s="3">
        <v>2</v>
      </c>
      <c r="AT8" s="3">
        <v>1</v>
      </c>
      <c r="AU8" s="3">
        <v>0</v>
      </c>
    </row>
    <row r="9" spans="1:51" ht="43.2" customHeight="1" x14ac:dyDescent="0.3">
      <c r="B9" s="3">
        <v>2</v>
      </c>
      <c r="C9" s="3">
        <v>3</v>
      </c>
      <c r="D9" s="3">
        <v>8</v>
      </c>
      <c r="E9" s="3">
        <v>3</v>
      </c>
      <c r="F9" s="3">
        <v>0</v>
      </c>
      <c r="G9" s="3">
        <v>0</v>
      </c>
      <c r="H9" s="3">
        <v>5</v>
      </c>
      <c r="I9" s="3">
        <v>1</v>
      </c>
      <c r="J9" s="3">
        <v>1</v>
      </c>
      <c r="L9" s="14">
        <v>5</v>
      </c>
      <c r="M9" s="14">
        <v>6</v>
      </c>
      <c r="N9" s="14">
        <v>5</v>
      </c>
      <c r="P9" s="3">
        <v>6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0</v>
      </c>
      <c r="Z9" s="3">
        <v>0</v>
      </c>
      <c r="AF9" s="3">
        <f t="shared" si="0"/>
        <v>0</v>
      </c>
      <c r="AG9" s="3">
        <f t="shared" ref="AG9:AG53" si="1">IF(AF9=2,AG8+1,AG8)</f>
        <v>1</v>
      </c>
      <c r="AH9" s="3">
        <v>1</v>
      </c>
      <c r="AI9" s="3">
        <v>2</v>
      </c>
      <c r="AJ9" s="3">
        <v>2</v>
      </c>
      <c r="AK9" s="3">
        <v>0</v>
      </c>
      <c r="AM9" s="3">
        <v>1</v>
      </c>
      <c r="AN9" s="3">
        <v>2</v>
      </c>
      <c r="AO9" s="3">
        <v>2</v>
      </c>
      <c r="AP9" s="3">
        <v>0</v>
      </c>
      <c r="AR9" s="3">
        <v>1</v>
      </c>
      <c r="AS9" s="3">
        <v>2</v>
      </c>
      <c r="AT9" s="3">
        <v>2</v>
      </c>
      <c r="AU9" s="3">
        <v>0</v>
      </c>
    </row>
    <row r="10" spans="1:51" ht="43.2" customHeight="1" x14ac:dyDescent="0.3">
      <c r="A10" s="12" t="s">
        <v>39</v>
      </c>
      <c r="B10" s="3">
        <v>3</v>
      </c>
      <c r="C10" s="3">
        <v>1</v>
      </c>
      <c r="D10" s="3">
        <v>1</v>
      </c>
      <c r="E10" s="3">
        <v>0</v>
      </c>
      <c r="F10" s="3">
        <v>4</v>
      </c>
      <c r="G10" s="3">
        <v>0</v>
      </c>
      <c r="H10" s="3">
        <v>5</v>
      </c>
      <c r="I10" s="3">
        <v>1</v>
      </c>
      <c r="J10" s="3">
        <v>1</v>
      </c>
      <c r="L10" s="14">
        <v>4</v>
      </c>
      <c r="M10" s="14">
        <v>7</v>
      </c>
      <c r="N10" s="14">
        <v>4</v>
      </c>
      <c r="P10" s="3">
        <v>7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F10" s="3">
        <f t="shared" si="0"/>
        <v>0</v>
      </c>
      <c r="AG10" s="3">
        <f t="shared" si="1"/>
        <v>1</v>
      </c>
      <c r="AH10" s="3">
        <v>1</v>
      </c>
      <c r="AI10" s="3">
        <v>3</v>
      </c>
      <c r="AJ10" s="3">
        <v>1</v>
      </c>
      <c r="AK10" s="3">
        <v>0</v>
      </c>
      <c r="AM10" s="3">
        <v>1</v>
      </c>
      <c r="AN10" s="3">
        <v>3</v>
      </c>
      <c r="AO10" s="3">
        <v>1</v>
      </c>
      <c r="AP10" s="3">
        <v>0</v>
      </c>
      <c r="AR10" s="3">
        <v>1</v>
      </c>
      <c r="AS10" s="3">
        <v>3</v>
      </c>
      <c r="AT10" s="3">
        <v>1</v>
      </c>
      <c r="AU10" s="3">
        <v>0</v>
      </c>
    </row>
    <row r="11" spans="1:51" ht="43.2" customHeight="1" x14ac:dyDescent="0.3">
      <c r="A11" s="3">
        <f>ROUND(SUM(D4:D50)/3,0)</f>
        <v>47</v>
      </c>
      <c r="B11" s="3">
        <v>3</v>
      </c>
      <c r="C11" s="3">
        <v>2</v>
      </c>
      <c r="D11" s="3">
        <v>2</v>
      </c>
      <c r="E11" s="3">
        <v>4</v>
      </c>
      <c r="F11" s="3">
        <v>0</v>
      </c>
      <c r="G11" s="3">
        <v>0</v>
      </c>
      <c r="H11" s="3">
        <v>4</v>
      </c>
      <c r="I11" s="3">
        <v>0</v>
      </c>
      <c r="J11" s="3">
        <v>1</v>
      </c>
      <c r="L11" s="14">
        <v>1</v>
      </c>
      <c r="M11" s="14">
        <v>4</v>
      </c>
      <c r="N11" s="14">
        <v>1</v>
      </c>
      <c r="P11" s="3">
        <v>8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  <c r="Z11" s="3">
        <v>0</v>
      </c>
      <c r="AF11" s="3">
        <f t="shared" si="0"/>
        <v>1</v>
      </c>
      <c r="AG11" s="3">
        <f t="shared" si="1"/>
        <v>1</v>
      </c>
      <c r="AH11" s="3">
        <v>1</v>
      </c>
      <c r="AI11" s="3">
        <v>3</v>
      </c>
      <c r="AJ11" s="3">
        <v>2</v>
      </c>
      <c r="AK11" s="3">
        <v>0</v>
      </c>
      <c r="AM11" s="3">
        <v>1</v>
      </c>
      <c r="AN11" s="3">
        <v>3</v>
      </c>
      <c r="AO11" s="3">
        <v>2</v>
      </c>
      <c r="AP11" s="3">
        <v>0</v>
      </c>
      <c r="AR11" s="3">
        <v>1</v>
      </c>
      <c r="AS11" s="3">
        <v>3</v>
      </c>
      <c r="AT11" s="3">
        <v>2</v>
      </c>
      <c r="AU11" s="3">
        <v>0</v>
      </c>
    </row>
    <row r="12" spans="1:51" ht="43.2" customHeight="1" x14ac:dyDescent="0.3">
      <c r="B12" s="3">
        <v>3</v>
      </c>
      <c r="C12" s="3">
        <v>3</v>
      </c>
      <c r="D12" s="3">
        <v>3</v>
      </c>
      <c r="E12" s="3">
        <v>0</v>
      </c>
      <c r="F12" s="3">
        <v>3</v>
      </c>
      <c r="G12" s="3">
        <v>0</v>
      </c>
      <c r="H12" s="3">
        <v>1</v>
      </c>
      <c r="I12" s="3">
        <v>1</v>
      </c>
      <c r="J12" s="3">
        <v>0</v>
      </c>
      <c r="L12" s="14">
        <v>4</v>
      </c>
      <c r="M12" s="14">
        <v>4</v>
      </c>
      <c r="N12" s="14">
        <v>4</v>
      </c>
      <c r="P12" s="3">
        <v>9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F12" s="3">
        <f t="shared" si="0"/>
        <v>2</v>
      </c>
      <c r="AG12" s="3">
        <f t="shared" si="1"/>
        <v>2</v>
      </c>
      <c r="AH12" s="3">
        <v>2</v>
      </c>
      <c r="AI12" s="3">
        <v>1</v>
      </c>
      <c r="AJ12" s="3">
        <v>1</v>
      </c>
      <c r="AK12" s="3">
        <v>10</v>
      </c>
      <c r="AM12" s="3">
        <v>2</v>
      </c>
      <c r="AN12" s="3">
        <v>1</v>
      </c>
      <c r="AO12" s="3">
        <v>1</v>
      </c>
      <c r="AP12" s="3">
        <v>10</v>
      </c>
      <c r="AR12" s="3">
        <v>2</v>
      </c>
      <c r="AS12" s="3">
        <v>1</v>
      </c>
      <c r="AT12" s="3">
        <v>1</v>
      </c>
      <c r="AU12" s="3">
        <v>0</v>
      </c>
    </row>
    <row r="13" spans="1:51" ht="43.2" customHeight="1" x14ac:dyDescent="0.3">
      <c r="A13" s="12" t="s">
        <v>79</v>
      </c>
      <c r="B13" s="3">
        <v>4</v>
      </c>
      <c r="C13" s="3">
        <v>1</v>
      </c>
      <c r="D13" s="3">
        <v>8</v>
      </c>
      <c r="E13" s="3">
        <v>1</v>
      </c>
      <c r="F13" s="3">
        <v>0</v>
      </c>
      <c r="G13" s="3">
        <v>0</v>
      </c>
      <c r="H13" s="3">
        <v>7</v>
      </c>
      <c r="I13" s="3">
        <v>1</v>
      </c>
      <c r="J13" s="3">
        <v>0</v>
      </c>
      <c r="L13" s="14">
        <v>1</v>
      </c>
      <c r="M13" s="14">
        <v>0</v>
      </c>
      <c r="N13" s="14">
        <v>1</v>
      </c>
      <c r="P13" s="3">
        <v>10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F13" s="3">
        <f t="shared" si="0"/>
        <v>1</v>
      </c>
      <c r="AG13" s="3">
        <f t="shared" si="1"/>
        <v>2</v>
      </c>
      <c r="AH13" s="3">
        <v>2</v>
      </c>
      <c r="AI13" s="3">
        <v>1</v>
      </c>
      <c r="AJ13" s="3">
        <v>2</v>
      </c>
      <c r="AK13" s="3">
        <v>0</v>
      </c>
      <c r="AM13" s="3">
        <v>2</v>
      </c>
      <c r="AN13" s="3">
        <v>1</v>
      </c>
      <c r="AO13" s="3">
        <v>2</v>
      </c>
      <c r="AP13" s="3">
        <v>0</v>
      </c>
      <c r="AR13" s="3">
        <v>2</v>
      </c>
      <c r="AS13" s="3">
        <v>1</v>
      </c>
      <c r="AT13" s="3">
        <v>2</v>
      </c>
      <c r="AU13" s="3">
        <v>1</v>
      </c>
    </row>
    <row r="14" spans="1:51" ht="43.2" customHeight="1" x14ac:dyDescent="0.3">
      <c r="A14" s="3">
        <f>MAX(AB4:AB50)</f>
        <v>2</v>
      </c>
      <c r="B14" s="3">
        <v>4</v>
      </c>
      <c r="C14" s="3">
        <v>2</v>
      </c>
      <c r="D14" s="3">
        <v>9</v>
      </c>
      <c r="E14" s="3">
        <v>1</v>
      </c>
      <c r="F14" s="3">
        <v>0</v>
      </c>
      <c r="G14" s="3">
        <v>4</v>
      </c>
      <c r="H14" s="3">
        <v>0</v>
      </c>
      <c r="I14" s="3">
        <v>1</v>
      </c>
      <c r="J14" s="3">
        <v>1</v>
      </c>
      <c r="L14" s="14"/>
      <c r="M14" s="14"/>
      <c r="N14" s="14"/>
      <c r="AF14" s="3">
        <f t="shared" si="0"/>
        <v>0</v>
      </c>
      <c r="AG14" s="3">
        <f t="shared" si="1"/>
        <v>2</v>
      </c>
      <c r="AH14" s="3">
        <v>2</v>
      </c>
      <c r="AI14" s="3">
        <v>2</v>
      </c>
      <c r="AJ14" s="3">
        <v>1</v>
      </c>
      <c r="AK14" s="3">
        <v>6</v>
      </c>
      <c r="AM14" s="3">
        <v>2</v>
      </c>
      <c r="AN14" s="3">
        <v>2</v>
      </c>
      <c r="AO14" s="3">
        <v>1</v>
      </c>
      <c r="AP14" s="3">
        <v>9</v>
      </c>
      <c r="AR14" s="3">
        <v>2</v>
      </c>
      <c r="AS14" s="3">
        <v>2</v>
      </c>
      <c r="AT14" s="3">
        <v>1</v>
      </c>
      <c r="AU14" s="3">
        <v>1</v>
      </c>
    </row>
    <row r="15" spans="1:51" ht="43.2" customHeight="1" x14ac:dyDescent="0.3">
      <c r="B15" s="3">
        <v>4</v>
      </c>
      <c r="C15" s="3">
        <v>3</v>
      </c>
      <c r="D15" s="3">
        <v>10</v>
      </c>
      <c r="E15" s="3">
        <v>0</v>
      </c>
      <c r="F15" s="3">
        <v>3</v>
      </c>
      <c r="G15" s="3">
        <v>0</v>
      </c>
      <c r="H15" s="3">
        <v>4</v>
      </c>
      <c r="I15" s="3">
        <v>1</v>
      </c>
      <c r="J15" s="3">
        <v>0</v>
      </c>
      <c r="L15" s="14"/>
      <c r="M15" s="14"/>
      <c r="N15" s="14"/>
      <c r="AF15" s="3">
        <f t="shared" si="0"/>
        <v>0</v>
      </c>
      <c r="AG15" s="3">
        <f t="shared" si="1"/>
        <v>2</v>
      </c>
      <c r="AH15" s="3">
        <v>2</v>
      </c>
      <c r="AI15" s="3">
        <v>2</v>
      </c>
      <c r="AJ15" s="3">
        <v>2</v>
      </c>
      <c r="AK15" s="3">
        <v>0</v>
      </c>
      <c r="AM15" s="3">
        <v>2</v>
      </c>
      <c r="AN15" s="3">
        <v>2</v>
      </c>
      <c r="AO15" s="3">
        <v>2</v>
      </c>
      <c r="AP15" s="3">
        <v>0</v>
      </c>
      <c r="AR15" s="3">
        <v>2</v>
      </c>
      <c r="AS15" s="3">
        <v>2</v>
      </c>
      <c r="AT15" s="3">
        <v>2</v>
      </c>
      <c r="AU15" s="3">
        <v>0</v>
      </c>
    </row>
    <row r="16" spans="1:51" ht="43.2" customHeight="1" x14ac:dyDescent="0.3">
      <c r="A16" s="12" t="s">
        <v>80</v>
      </c>
      <c r="B16" s="3">
        <v>5</v>
      </c>
      <c r="C16" s="3">
        <v>1</v>
      </c>
      <c r="D16" s="3">
        <v>1</v>
      </c>
      <c r="E16" s="3">
        <v>9</v>
      </c>
      <c r="F16" s="3">
        <v>0</v>
      </c>
      <c r="G16" s="3">
        <v>0</v>
      </c>
      <c r="H16" s="3">
        <v>2</v>
      </c>
      <c r="I16" s="3">
        <v>0</v>
      </c>
      <c r="J16" s="3">
        <v>1</v>
      </c>
      <c r="L16" s="14"/>
      <c r="M16" s="14"/>
      <c r="N16" s="14"/>
      <c r="AF16" s="3">
        <f t="shared" si="0"/>
        <v>0</v>
      </c>
      <c r="AG16" s="3">
        <f t="shared" si="1"/>
        <v>2</v>
      </c>
      <c r="AH16" s="3">
        <v>2</v>
      </c>
      <c r="AI16" s="3">
        <v>3</v>
      </c>
      <c r="AJ16" s="3">
        <v>1</v>
      </c>
      <c r="AK16" s="3">
        <v>3</v>
      </c>
      <c r="AM16" s="3">
        <v>2</v>
      </c>
      <c r="AN16" s="3">
        <v>3</v>
      </c>
      <c r="AO16" s="3">
        <v>1</v>
      </c>
      <c r="AP16" s="3">
        <v>0</v>
      </c>
      <c r="AR16" s="3">
        <v>2</v>
      </c>
      <c r="AS16" s="3">
        <v>3</v>
      </c>
      <c r="AT16" s="3">
        <v>1</v>
      </c>
      <c r="AU16" s="3">
        <v>1</v>
      </c>
    </row>
    <row r="17" spans="1:47" ht="43.2" customHeight="1" x14ac:dyDescent="0.3">
      <c r="A17" s="3">
        <f>MAX(AE4:AE50)</f>
        <v>2</v>
      </c>
      <c r="B17" s="3">
        <v>5</v>
      </c>
      <c r="C17" s="3">
        <v>2</v>
      </c>
      <c r="D17" s="3">
        <v>8</v>
      </c>
      <c r="E17" s="3">
        <v>6</v>
      </c>
      <c r="F17" s="3">
        <v>0</v>
      </c>
      <c r="G17" s="3">
        <v>0</v>
      </c>
      <c r="H17" s="3">
        <v>2</v>
      </c>
      <c r="I17" s="3">
        <v>1</v>
      </c>
      <c r="J17" s="3">
        <v>0</v>
      </c>
      <c r="L17" s="14"/>
      <c r="M17" s="14"/>
      <c r="N17" s="14"/>
      <c r="AF17" s="3">
        <f t="shared" si="0"/>
        <v>1</v>
      </c>
      <c r="AG17" s="3">
        <f t="shared" si="1"/>
        <v>2</v>
      </c>
      <c r="AH17" s="3">
        <v>2</v>
      </c>
      <c r="AI17" s="3">
        <v>3</v>
      </c>
      <c r="AJ17" s="3">
        <v>2</v>
      </c>
      <c r="AK17" s="3">
        <v>0</v>
      </c>
      <c r="AM17" s="3">
        <v>2</v>
      </c>
      <c r="AN17" s="3">
        <v>3</v>
      </c>
      <c r="AO17" s="3">
        <v>2</v>
      </c>
      <c r="AP17" s="3">
        <v>5</v>
      </c>
      <c r="AR17" s="3">
        <v>2</v>
      </c>
      <c r="AS17" s="3">
        <v>3</v>
      </c>
      <c r="AT17" s="3">
        <v>2</v>
      </c>
      <c r="AU17" s="3">
        <v>1</v>
      </c>
    </row>
    <row r="18" spans="1:47" ht="43.2" customHeight="1" x14ac:dyDescent="0.3">
      <c r="B18" s="3">
        <v>5</v>
      </c>
      <c r="C18" s="3">
        <v>3</v>
      </c>
      <c r="D18" s="3">
        <v>9</v>
      </c>
      <c r="E18" s="3">
        <v>4</v>
      </c>
      <c r="F18" s="3">
        <v>0</v>
      </c>
      <c r="G18" s="3">
        <v>0</v>
      </c>
      <c r="H18" s="3">
        <v>1</v>
      </c>
      <c r="I18" s="3">
        <v>1</v>
      </c>
      <c r="J18" s="3">
        <v>1</v>
      </c>
      <c r="L18" s="14"/>
      <c r="M18" s="14"/>
      <c r="N18" s="14"/>
      <c r="AF18" s="3">
        <f t="shared" si="0"/>
        <v>2</v>
      </c>
      <c r="AG18" s="3">
        <f t="shared" si="1"/>
        <v>3</v>
      </c>
      <c r="AH18" s="3">
        <v>3</v>
      </c>
      <c r="AI18" s="3">
        <v>1</v>
      </c>
      <c r="AJ18" s="3">
        <v>1</v>
      </c>
      <c r="AK18" s="3">
        <v>0</v>
      </c>
      <c r="AM18" s="3">
        <v>3</v>
      </c>
      <c r="AN18" s="3">
        <v>1</v>
      </c>
      <c r="AO18" s="3">
        <v>1</v>
      </c>
      <c r="AP18" s="3">
        <v>0</v>
      </c>
      <c r="AR18" s="3">
        <v>3</v>
      </c>
      <c r="AS18" s="3">
        <v>1</v>
      </c>
      <c r="AT18" s="3">
        <v>1</v>
      </c>
      <c r="AU18" s="3">
        <v>1</v>
      </c>
    </row>
    <row r="19" spans="1:47" ht="43.2" customHeight="1" x14ac:dyDescent="0.3">
      <c r="B19" s="3">
        <v>6</v>
      </c>
      <c r="C19" s="3">
        <v>1</v>
      </c>
      <c r="D19" s="3">
        <v>5</v>
      </c>
      <c r="E19" s="3">
        <v>4</v>
      </c>
      <c r="F19" s="3">
        <v>0</v>
      </c>
      <c r="G19" s="3">
        <v>5</v>
      </c>
      <c r="H19" s="3">
        <v>0</v>
      </c>
      <c r="I19" s="3">
        <v>1</v>
      </c>
      <c r="J19" s="3">
        <v>1</v>
      </c>
      <c r="L19" s="14"/>
      <c r="M19" s="14"/>
      <c r="N19" s="14"/>
      <c r="AF19" s="3">
        <f t="shared" si="0"/>
        <v>1</v>
      </c>
      <c r="AG19" s="3">
        <f t="shared" si="1"/>
        <v>3</v>
      </c>
      <c r="AH19" s="3">
        <v>3</v>
      </c>
      <c r="AI19" s="3">
        <v>1</v>
      </c>
      <c r="AJ19" s="3">
        <v>2</v>
      </c>
      <c r="AK19" s="3">
        <v>4</v>
      </c>
      <c r="AM19" s="3">
        <v>3</v>
      </c>
      <c r="AN19" s="3">
        <v>1</v>
      </c>
      <c r="AO19" s="3">
        <v>2</v>
      </c>
      <c r="AP19" s="3">
        <v>5</v>
      </c>
      <c r="AR19" s="3">
        <v>3</v>
      </c>
      <c r="AS19" s="3">
        <v>1</v>
      </c>
      <c r="AT19" s="3">
        <v>2</v>
      </c>
      <c r="AU19" s="3">
        <v>1</v>
      </c>
    </row>
    <row r="20" spans="1:47" ht="43.2" customHeight="1" x14ac:dyDescent="0.3">
      <c r="B20" s="3">
        <v>6</v>
      </c>
      <c r="C20" s="3">
        <v>2</v>
      </c>
      <c r="D20" s="3">
        <v>6</v>
      </c>
      <c r="E20" s="3">
        <v>3</v>
      </c>
      <c r="F20" s="3">
        <v>0</v>
      </c>
      <c r="G20" s="3">
        <v>5</v>
      </c>
      <c r="H20" s="3">
        <v>0</v>
      </c>
      <c r="I20" s="3">
        <v>1</v>
      </c>
      <c r="J20" s="3">
        <v>0</v>
      </c>
      <c r="L20" s="14"/>
      <c r="M20" s="14"/>
      <c r="N20" s="14"/>
      <c r="AF20" s="3">
        <f t="shared" si="0"/>
        <v>0</v>
      </c>
      <c r="AG20" s="3">
        <f t="shared" si="1"/>
        <v>3</v>
      </c>
      <c r="AH20" s="3">
        <v>3</v>
      </c>
      <c r="AI20" s="3">
        <v>2</v>
      </c>
      <c r="AJ20" s="3">
        <v>1</v>
      </c>
      <c r="AK20" s="3">
        <v>4</v>
      </c>
      <c r="AM20" s="3">
        <v>3</v>
      </c>
      <c r="AN20" s="3">
        <v>2</v>
      </c>
      <c r="AO20" s="3">
        <v>1</v>
      </c>
      <c r="AP20" s="3">
        <v>0</v>
      </c>
      <c r="AR20" s="3">
        <v>3</v>
      </c>
      <c r="AS20" s="3">
        <v>2</v>
      </c>
      <c r="AT20" s="3">
        <v>1</v>
      </c>
      <c r="AU20" s="3">
        <v>0</v>
      </c>
    </row>
    <row r="21" spans="1:47" ht="43.2" customHeight="1" x14ac:dyDescent="0.3">
      <c r="B21" s="3">
        <v>6</v>
      </c>
      <c r="C21" s="3">
        <v>3</v>
      </c>
      <c r="D21" s="3">
        <v>7</v>
      </c>
      <c r="E21" s="3">
        <v>3</v>
      </c>
      <c r="F21" s="3">
        <v>0</v>
      </c>
      <c r="G21" s="3">
        <v>0</v>
      </c>
      <c r="H21" s="3">
        <v>5</v>
      </c>
      <c r="I21" s="3">
        <v>1</v>
      </c>
      <c r="J21" s="3">
        <v>0</v>
      </c>
      <c r="L21" s="14"/>
      <c r="M21" s="14"/>
      <c r="N21" s="14"/>
      <c r="AF21" s="3">
        <f t="shared" si="0"/>
        <v>0</v>
      </c>
      <c r="AG21" s="3">
        <f t="shared" si="1"/>
        <v>3</v>
      </c>
      <c r="AH21" s="3">
        <v>3</v>
      </c>
      <c r="AI21" s="3">
        <v>2</v>
      </c>
      <c r="AJ21" s="3">
        <v>2</v>
      </c>
      <c r="AK21" s="3">
        <v>0</v>
      </c>
      <c r="AM21" s="3">
        <v>3</v>
      </c>
      <c r="AN21" s="3">
        <v>2</v>
      </c>
      <c r="AO21" s="3">
        <v>2</v>
      </c>
      <c r="AP21" s="3">
        <v>4</v>
      </c>
      <c r="AR21" s="3">
        <v>3</v>
      </c>
      <c r="AS21" s="3">
        <v>2</v>
      </c>
      <c r="AT21" s="3">
        <v>2</v>
      </c>
      <c r="AU21" s="3">
        <v>1</v>
      </c>
    </row>
    <row r="22" spans="1:47" ht="43.2" customHeight="1" x14ac:dyDescent="0.3">
      <c r="B22" s="3">
        <v>7</v>
      </c>
      <c r="C22" s="3">
        <v>1</v>
      </c>
      <c r="D22" s="3">
        <v>4</v>
      </c>
      <c r="E22" s="3">
        <v>10</v>
      </c>
      <c r="F22" s="3">
        <v>0</v>
      </c>
      <c r="G22" s="3">
        <v>0</v>
      </c>
      <c r="H22" s="3">
        <v>6</v>
      </c>
      <c r="I22" s="3">
        <v>1</v>
      </c>
      <c r="J22" s="3">
        <v>1</v>
      </c>
      <c r="L22" s="14"/>
      <c r="M22" s="14"/>
      <c r="N22" s="14"/>
      <c r="AF22" s="3">
        <f t="shared" si="0"/>
        <v>0</v>
      </c>
      <c r="AG22" s="3">
        <f t="shared" si="1"/>
        <v>3</v>
      </c>
      <c r="AH22" s="3">
        <v>3</v>
      </c>
      <c r="AI22" s="3">
        <v>3</v>
      </c>
      <c r="AJ22" s="3">
        <v>1</v>
      </c>
      <c r="AK22" s="3">
        <v>0</v>
      </c>
      <c r="AM22" s="3">
        <v>3</v>
      </c>
      <c r="AN22" s="3">
        <v>3</v>
      </c>
      <c r="AO22" s="3">
        <v>1</v>
      </c>
      <c r="AP22" s="3">
        <v>0</v>
      </c>
      <c r="AR22" s="3">
        <v>3</v>
      </c>
      <c r="AS22" s="3">
        <v>3</v>
      </c>
      <c r="AT22" s="3">
        <v>1</v>
      </c>
      <c r="AU22" s="3">
        <v>1</v>
      </c>
    </row>
    <row r="23" spans="1:47" ht="43.2" customHeight="1" x14ac:dyDescent="0.3">
      <c r="B23" s="3">
        <v>7</v>
      </c>
      <c r="C23" s="3">
        <v>2</v>
      </c>
      <c r="D23" s="3">
        <v>7</v>
      </c>
      <c r="E23" s="3">
        <v>7</v>
      </c>
      <c r="F23" s="3">
        <v>0</v>
      </c>
      <c r="G23" s="3">
        <v>0</v>
      </c>
      <c r="H23" s="3">
        <v>6</v>
      </c>
      <c r="I23" s="3">
        <v>1</v>
      </c>
      <c r="J23" s="3">
        <v>1</v>
      </c>
      <c r="L23" s="14"/>
      <c r="M23" s="14"/>
      <c r="N23" s="14"/>
      <c r="AF23" s="3">
        <f t="shared" si="0"/>
        <v>1</v>
      </c>
      <c r="AG23" s="3">
        <f t="shared" si="1"/>
        <v>3</v>
      </c>
      <c r="AH23" s="3">
        <v>3</v>
      </c>
      <c r="AI23" s="3">
        <v>3</v>
      </c>
      <c r="AJ23" s="3">
        <v>2</v>
      </c>
      <c r="AK23" s="3">
        <v>3</v>
      </c>
      <c r="AM23" s="3">
        <v>3</v>
      </c>
      <c r="AN23" s="3">
        <v>3</v>
      </c>
      <c r="AO23" s="3">
        <v>2</v>
      </c>
      <c r="AP23" s="3">
        <v>1</v>
      </c>
      <c r="AR23" s="3">
        <v>3</v>
      </c>
      <c r="AS23" s="3">
        <v>3</v>
      </c>
      <c r="AT23" s="3">
        <v>2</v>
      </c>
      <c r="AU23" s="3">
        <v>0</v>
      </c>
    </row>
    <row r="24" spans="1:47" ht="43.2" customHeight="1" x14ac:dyDescent="0.3">
      <c r="B24" s="3">
        <v>7</v>
      </c>
      <c r="C24" s="3">
        <v>3</v>
      </c>
      <c r="D24" s="3">
        <v>10</v>
      </c>
      <c r="E24" s="3">
        <v>3</v>
      </c>
      <c r="F24" s="3">
        <v>0</v>
      </c>
      <c r="G24" s="3">
        <v>10</v>
      </c>
      <c r="H24" s="3">
        <v>0</v>
      </c>
      <c r="I24" s="3">
        <v>1</v>
      </c>
      <c r="J24" s="3">
        <v>1</v>
      </c>
      <c r="L24" s="14"/>
      <c r="M24" s="14"/>
      <c r="N24" s="14"/>
      <c r="AF24" s="3">
        <f t="shared" si="0"/>
        <v>2</v>
      </c>
      <c r="AG24" s="3">
        <f t="shared" si="1"/>
        <v>4</v>
      </c>
      <c r="AH24" s="3">
        <v>4</v>
      </c>
      <c r="AI24" s="3">
        <v>1</v>
      </c>
      <c r="AJ24" s="3">
        <v>1</v>
      </c>
      <c r="AK24" s="3">
        <v>1</v>
      </c>
      <c r="AM24" s="3">
        <v>4</v>
      </c>
      <c r="AN24" s="3">
        <v>1</v>
      </c>
      <c r="AO24" s="3">
        <v>1</v>
      </c>
      <c r="AP24" s="3">
        <v>0</v>
      </c>
      <c r="AR24" s="3">
        <v>4</v>
      </c>
      <c r="AS24" s="3">
        <v>1</v>
      </c>
      <c r="AT24" s="3">
        <v>1</v>
      </c>
      <c r="AU24" s="3">
        <v>1</v>
      </c>
    </row>
    <row r="25" spans="1:47" ht="43.2" customHeight="1" x14ac:dyDescent="0.3">
      <c r="B25" s="3">
        <v>8</v>
      </c>
      <c r="C25" s="3">
        <v>1</v>
      </c>
      <c r="D25" s="3">
        <v>1</v>
      </c>
      <c r="E25" s="3">
        <v>0</v>
      </c>
      <c r="F25" s="3">
        <v>7</v>
      </c>
      <c r="G25" s="3">
        <v>2</v>
      </c>
      <c r="H25" s="3">
        <v>0</v>
      </c>
      <c r="I25" s="3">
        <v>1</v>
      </c>
      <c r="J25" s="3">
        <v>0</v>
      </c>
      <c r="L25" s="14"/>
      <c r="M25" s="14"/>
      <c r="N25" s="14"/>
      <c r="AF25" s="3">
        <f t="shared" si="0"/>
        <v>1</v>
      </c>
      <c r="AG25" s="3">
        <f t="shared" si="1"/>
        <v>4</v>
      </c>
      <c r="AH25" s="3">
        <v>4</v>
      </c>
      <c r="AI25" s="3">
        <v>1</v>
      </c>
      <c r="AJ25" s="3">
        <v>2</v>
      </c>
      <c r="AK25" s="3">
        <v>0</v>
      </c>
      <c r="AM25" s="3">
        <v>4</v>
      </c>
      <c r="AN25" s="3">
        <v>1</v>
      </c>
      <c r="AO25" s="3">
        <v>2</v>
      </c>
      <c r="AP25" s="3">
        <v>7</v>
      </c>
      <c r="AR25" s="3">
        <v>4</v>
      </c>
      <c r="AS25" s="3">
        <v>1</v>
      </c>
      <c r="AT25" s="3">
        <v>2</v>
      </c>
      <c r="AU25" s="3">
        <v>0</v>
      </c>
    </row>
    <row r="26" spans="1:47" ht="43.2" customHeight="1" x14ac:dyDescent="0.3">
      <c r="B26" s="3">
        <v>8</v>
      </c>
      <c r="C26" s="3">
        <v>2</v>
      </c>
      <c r="D26" s="3">
        <v>4</v>
      </c>
      <c r="E26" s="3">
        <v>0</v>
      </c>
      <c r="F26" s="3">
        <v>6</v>
      </c>
      <c r="G26" s="3">
        <v>1</v>
      </c>
      <c r="H26" s="3">
        <v>0</v>
      </c>
      <c r="I26" s="3">
        <v>0</v>
      </c>
      <c r="J26" s="3">
        <v>1</v>
      </c>
      <c r="L26" s="14"/>
      <c r="M26" s="14"/>
      <c r="N26" s="14"/>
      <c r="AF26" s="3">
        <f t="shared" si="0"/>
        <v>0</v>
      </c>
      <c r="AG26" s="3">
        <f t="shared" si="1"/>
        <v>4</v>
      </c>
      <c r="AH26" s="3">
        <v>4</v>
      </c>
      <c r="AI26" s="3">
        <v>2</v>
      </c>
      <c r="AJ26" s="3">
        <v>1</v>
      </c>
      <c r="AK26" s="3">
        <v>1</v>
      </c>
      <c r="AM26" s="3">
        <v>4</v>
      </c>
      <c r="AN26" s="3">
        <v>2</v>
      </c>
      <c r="AO26" s="3">
        <v>1</v>
      </c>
      <c r="AP26" s="3">
        <v>4</v>
      </c>
      <c r="AR26" s="3">
        <v>4</v>
      </c>
      <c r="AS26" s="3">
        <v>2</v>
      </c>
      <c r="AT26" s="3">
        <v>1</v>
      </c>
      <c r="AU26" s="3">
        <v>1</v>
      </c>
    </row>
    <row r="27" spans="1:47" ht="43.2" customHeight="1" x14ac:dyDescent="0.3">
      <c r="B27" s="3">
        <v>8</v>
      </c>
      <c r="C27" s="3">
        <v>3</v>
      </c>
      <c r="D27" s="3">
        <v>7</v>
      </c>
      <c r="E27" s="3">
        <v>0</v>
      </c>
      <c r="F27" s="3">
        <v>3</v>
      </c>
      <c r="G27" s="3">
        <v>0</v>
      </c>
      <c r="H27" s="3">
        <v>1</v>
      </c>
      <c r="I27" s="3">
        <v>1</v>
      </c>
      <c r="J27" s="3">
        <v>1</v>
      </c>
      <c r="L27" s="14"/>
      <c r="M27" s="14"/>
      <c r="N27" s="14"/>
      <c r="AF27" s="3">
        <f t="shared" si="0"/>
        <v>0</v>
      </c>
      <c r="AG27" s="3">
        <f t="shared" si="1"/>
        <v>4</v>
      </c>
      <c r="AH27" s="3">
        <v>4</v>
      </c>
      <c r="AI27" s="3">
        <v>2</v>
      </c>
      <c r="AJ27" s="3">
        <v>2</v>
      </c>
      <c r="AK27" s="3">
        <v>0</v>
      </c>
      <c r="AM27" s="3">
        <v>4</v>
      </c>
      <c r="AN27" s="3">
        <v>2</v>
      </c>
      <c r="AO27" s="3">
        <v>2</v>
      </c>
      <c r="AP27" s="3">
        <v>0</v>
      </c>
      <c r="AR27" s="3">
        <v>4</v>
      </c>
      <c r="AS27" s="3">
        <v>2</v>
      </c>
      <c r="AT27" s="3">
        <v>2</v>
      </c>
      <c r="AU27" s="3">
        <v>1</v>
      </c>
    </row>
    <row r="28" spans="1:47" ht="43.2" customHeight="1" x14ac:dyDescent="0.3">
      <c r="B28" s="3">
        <v>9</v>
      </c>
      <c r="C28" s="3">
        <v>1</v>
      </c>
      <c r="D28" s="3">
        <v>4</v>
      </c>
      <c r="E28" s="3">
        <v>0</v>
      </c>
      <c r="F28" s="3">
        <v>4</v>
      </c>
      <c r="G28" s="3">
        <v>0</v>
      </c>
      <c r="H28" s="3">
        <v>7</v>
      </c>
      <c r="I28" s="3">
        <v>1</v>
      </c>
      <c r="J28" s="3">
        <v>1</v>
      </c>
      <c r="L28" s="14"/>
      <c r="M28" s="14"/>
      <c r="N28" s="14"/>
      <c r="AF28" s="3">
        <f t="shared" si="0"/>
        <v>0</v>
      </c>
      <c r="AG28" s="3">
        <f t="shared" si="1"/>
        <v>4</v>
      </c>
      <c r="AH28" s="3">
        <v>4</v>
      </c>
      <c r="AI28" s="3">
        <v>3</v>
      </c>
      <c r="AJ28" s="3">
        <v>1</v>
      </c>
      <c r="AK28" s="3">
        <v>0</v>
      </c>
      <c r="AM28" s="3">
        <v>4</v>
      </c>
      <c r="AN28" s="3">
        <v>3</v>
      </c>
      <c r="AO28" s="3">
        <v>1</v>
      </c>
      <c r="AP28" s="3">
        <v>0</v>
      </c>
      <c r="AR28" s="3">
        <v>4</v>
      </c>
      <c r="AS28" s="3">
        <v>3</v>
      </c>
      <c r="AT28" s="3">
        <v>1</v>
      </c>
      <c r="AU28" s="3">
        <v>1</v>
      </c>
    </row>
    <row r="29" spans="1:47" ht="43.2" customHeight="1" x14ac:dyDescent="0.3">
      <c r="B29" s="3">
        <v>9</v>
      </c>
      <c r="C29" s="3">
        <v>2</v>
      </c>
      <c r="D29" s="3">
        <v>4</v>
      </c>
      <c r="E29" s="3">
        <v>6</v>
      </c>
      <c r="F29" s="3">
        <v>0</v>
      </c>
      <c r="G29" s="3">
        <v>10</v>
      </c>
      <c r="H29" s="3">
        <v>0</v>
      </c>
      <c r="I29" s="3">
        <v>0</v>
      </c>
      <c r="J29" s="3">
        <v>1</v>
      </c>
      <c r="L29" s="14"/>
      <c r="M29" s="14"/>
      <c r="N29" s="14"/>
      <c r="AF29" s="3">
        <f t="shared" si="0"/>
        <v>1</v>
      </c>
      <c r="AG29" s="3">
        <f t="shared" si="1"/>
        <v>4</v>
      </c>
      <c r="AH29" s="3">
        <v>4</v>
      </c>
      <c r="AI29" s="3">
        <v>3</v>
      </c>
      <c r="AJ29" s="3">
        <v>2</v>
      </c>
      <c r="AK29" s="3">
        <v>3</v>
      </c>
      <c r="AM29" s="3">
        <v>4</v>
      </c>
      <c r="AN29" s="3">
        <v>3</v>
      </c>
      <c r="AO29" s="3">
        <v>2</v>
      </c>
      <c r="AP29" s="3">
        <v>4</v>
      </c>
      <c r="AR29" s="3">
        <v>4</v>
      </c>
      <c r="AS29" s="3">
        <v>3</v>
      </c>
      <c r="AT29" s="3">
        <v>2</v>
      </c>
      <c r="AU29" s="3">
        <v>0</v>
      </c>
    </row>
    <row r="30" spans="1:47" ht="43.2" customHeight="1" x14ac:dyDescent="0.3">
      <c r="B30" s="3">
        <v>9</v>
      </c>
      <c r="C30" s="3">
        <v>3</v>
      </c>
      <c r="D30" s="3">
        <v>7</v>
      </c>
      <c r="E30" s="3">
        <v>6</v>
      </c>
      <c r="F30" s="3">
        <v>0</v>
      </c>
      <c r="G30" s="3">
        <v>0</v>
      </c>
      <c r="H30" s="3">
        <v>7</v>
      </c>
      <c r="I30" s="3">
        <v>1</v>
      </c>
      <c r="J30" s="3">
        <v>0</v>
      </c>
      <c r="L30" s="14"/>
      <c r="M30" s="14"/>
      <c r="N30" s="14"/>
      <c r="AF30" s="3">
        <f t="shared" si="0"/>
        <v>2</v>
      </c>
      <c r="AG30" s="3">
        <f t="shared" si="1"/>
        <v>5</v>
      </c>
      <c r="AH30" s="3">
        <v>5</v>
      </c>
      <c r="AI30" s="3">
        <v>1</v>
      </c>
      <c r="AJ30" s="3">
        <v>1</v>
      </c>
      <c r="AK30" s="3">
        <v>9</v>
      </c>
      <c r="AM30" s="3">
        <v>5</v>
      </c>
      <c r="AN30" s="3">
        <v>1</v>
      </c>
      <c r="AO30" s="3">
        <v>1</v>
      </c>
      <c r="AP30" s="3">
        <v>0</v>
      </c>
      <c r="AR30" s="3">
        <v>5</v>
      </c>
      <c r="AS30" s="3">
        <v>1</v>
      </c>
      <c r="AT30" s="3">
        <v>1</v>
      </c>
      <c r="AU30" s="3">
        <v>0</v>
      </c>
    </row>
    <row r="31" spans="1:47" ht="43.2" customHeight="1" x14ac:dyDescent="0.3">
      <c r="B31" s="3">
        <v>10</v>
      </c>
      <c r="C31" s="3">
        <v>1</v>
      </c>
      <c r="D31" s="3">
        <v>1</v>
      </c>
      <c r="E31" s="3">
        <v>0</v>
      </c>
      <c r="F31" s="3">
        <v>8</v>
      </c>
      <c r="G31" s="3">
        <v>8</v>
      </c>
      <c r="H31" s="3">
        <v>0</v>
      </c>
      <c r="I31" s="3">
        <v>1</v>
      </c>
      <c r="J31" s="3">
        <v>1</v>
      </c>
      <c r="AF31" s="3">
        <f t="shared" si="0"/>
        <v>1</v>
      </c>
      <c r="AG31" s="3">
        <f t="shared" si="1"/>
        <v>5</v>
      </c>
      <c r="AH31" s="3">
        <v>5</v>
      </c>
      <c r="AI31" s="3">
        <v>1</v>
      </c>
      <c r="AJ31" s="3">
        <v>2</v>
      </c>
      <c r="AK31" s="3">
        <v>0</v>
      </c>
      <c r="AM31" s="3">
        <v>5</v>
      </c>
      <c r="AN31" s="3">
        <v>1</v>
      </c>
      <c r="AO31" s="3">
        <v>2</v>
      </c>
      <c r="AP31" s="3">
        <v>2</v>
      </c>
      <c r="AR31" s="3">
        <v>5</v>
      </c>
      <c r="AS31" s="3">
        <v>1</v>
      </c>
      <c r="AT31" s="3">
        <v>2</v>
      </c>
      <c r="AU31" s="3">
        <v>1</v>
      </c>
    </row>
    <row r="32" spans="1:47" ht="43.2" customHeight="1" x14ac:dyDescent="0.3">
      <c r="B32" s="3">
        <v>10</v>
      </c>
      <c r="C32" s="3">
        <v>2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AF32" s="3">
        <f t="shared" si="0"/>
        <v>0</v>
      </c>
      <c r="AG32" s="3">
        <f t="shared" si="1"/>
        <v>5</v>
      </c>
      <c r="AH32" s="3">
        <v>5</v>
      </c>
      <c r="AI32" s="3">
        <v>2</v>
      </c>
      <c r="AJ32" s="3">
        <v>1</v>
      </c>
      <c r="AK32" s="3">
        <v>6</v>
      </c>
      <c r="AM32" s="3">
        <v>5</v>
      </c>
      <c r="AN32" s="3">
        <v>2</v>
      </c>
      <c r="AO32" s="3">
        <v>1</v>
      </c>
      <c r="AP32" s="3">
        <v>0</v>
      </c>
      <c r="AR32" s="3">
        <v>5</v>
      </c>
      <c r="AS32" s="3">
        <v>2</v>
      </c>
      <c r="AT32" s="3">
        <v>1</v>
      </c>
      <c r="AU32" s="3">
        <v>1</v>
      </c>
    </row>
    <row r="33" spans="2:47" ht="43.2" customHeight="1" x14ac:dyDescent="0.3">
      <c r="B33" s="3">
        <v>10</v>
      </c>
      <c r="C33" s="3">
        <v>3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AF33" s="3">
        <f t="shared" si="0"/>
        <v>0</v>
      </c>
      <c r="AG33" s="3">
        <f t="shared" si="1"/>
        <v>5</v>
      </c>
      <c r="AH33" s="3">
        <v>5</v>
      </c>
      <c r="AI33" s="3">
        <v>2</v>
      </c>
      <c r="AJ33" s="3">
        <v>2</v>
      </c>
      <c r="AK33" s="3">
        <v>0</v>
      </c>
      <c r="AM33" s="3">
        <v>5</v>
      </c>
      <c r="AN33" s="3">
        <v>2</v>
      </c>
      <c r="AO33" s="3">
        <v>2</v>
      </c>
      <c r="AP33" s="3">
        <v>2</v>
      </c>
      <c r="AR33" s="3">
        <v>5</v>
      </c>
      <c r="AS33" s="3">
        <v>2</v>
      </c>
      <c r="AT33" s="3">
        <v>2</v>
      </c>
      <c r="AU33" s="3">
        <v>0</v>
      </c>
    </row>
    <row r="34" spans="2:47" ht="43.2" customHeight="1" x14ac:dyDescent="0.3">
      <c r="AF34" s="3">
        <f t="shared" si="0"/>
        <v>0</v>
      </c>
      <c r="AG34" s="3">
        <f t="shared" si="1"/>
        <v>5</v>
      </c>
      <c r="AH34" s="3">
        <v>5</v>
      </c>
      <c r="AI34" s="3">
        <v>3</v>
      </c>
      <c r="AJ34" s="3">
        <v>1</v>
      </c>
      <c r="AK34" s="3">
        <v>4</v>
      </c>
      <c r="AM34" s="3">
        <v>5</v>
      </c>
      <c r="AN34" s="3">
        <v>3</v>
      </c>
      <c r="AO34" s="3">
        <v>1</v>
      </c>
      <c r="AP34" s="3">
        <v>0</v>
      </c>
      <c r="AR34" s="3">
        <v>5</v>
      </c>
      <c r="AS34" s="3">
        <v>3</v>
      </c>
      <c r="AT34" s="3">
        <v>1</v>
      </c>
      <c r="AU34" s="3">
        <v>1</v>
      </c>
    </row>
    <row r="35" spans="2:47" ht="43.2" customHeight="1" x14ac:dyDescent="0.3">
      <c r="AF35" s="3">
        <f t="shared" si="0"/>
        <v>1</v>
      </c>
      <c r="AG35" s="3">
        <f t="shared" si="1"/>
        <v>5</v>
      </c>
      <c r="AH35" s="3">
        <v>5</v>
      </c>
      <c r="AI35" s="3">
        <v>3</v>
      </c>
      <c r="AJ35" s="3">
        <v>2</v>
      </c>
      <c r="AK35" s="3">
        <v>0</v>
      </c>
      <c r="AM35" s="3">
        <v>5</v>
      </c>
      <c r="AN35" s="3">
        <v>3</v>
      </c>
      <c r="AO35" s="3">
        <v>2</v>
      </c>
      <c r="AP35" s="3">
        <v>1</v>
      </c>
      <c r="AR35" s="3">
        <v>5</v>
      </c>
      <c r="AS35" s="3">
        <v>3</v>
      </c>
      <c r="AT35" s="3">
        <v>2</v>
      </c>
      <c r="AU35" s="3">
        <v>1</v>
      </c>
    </row>
    <row r="36" spans="2:47" ht="43.2" customHeight="1" x14ac:dyDescent="0.3">
      <c r="AF36" s="3">
        <f t="shared" si="0"/>
        <v>2</v>
      </c>
      <c r="AG36" s="3">
        <f t="shared" si="1"/>
        <v>6</v>
      </c>
      <c r="AH36" s="3">
        <v>6</v>
      </c>
      <c r="AI36" s="3">
        <v>1</v>
      </c>
      <c r="AJ36" s="3">
        <v>1</v>
      </c>
      <c r="AK36" s="3">
        <v>4</v>
      </c>
      <c r="AM36" s="3">
        <v>6</v>
      </c>
      <c r="AN36" s="3">
        <v>1</v>
      </c>
      <c r="AO36" s="3">
        <v>1</v>
      </c>
      <c r="AP36" s="3">
        <v>5</v>
      </c>
      <c r="AR36" s="3">
        <v>6</v>
      </c>
      <c r="AS36" s="3">
        <v>1</v>
      </c>
      <c r="AT36" s="3">
        <v>1</v>
      </c>
      <c r="AU36" s="3">
        <v>1</v>
      </c>
    </row>
    <row r="37" spans="2:47" ht="43.2" customHeight="1" x14ac:dyDescent="0.3">
      <c r="AF37" s="3">
        <f t="shared" si="0"/>
        <v>1</v>
      </c>
      <c r="AG37" s="3">
        <f t="shared" si="1"/>
        <v>6</v>
      </c>
      <c r="AH37" s="3">
        <v>6</v>
      </c>
      <c r="AI37" s="3">
        <v>1</v>
      </c>
      <c r="AJ37" s="3">
        <v>2</v>
      </c>
      <c r="AK37" s="3">
        <v>0</v>
      </c>
      <c r="AM37" s="3">
        <v>6</v>
      </c>
      <c r="AN37" s="3">
        <v>1</v>
      </c>
      <c r="AO37" s="3">
        <v>2</v>
      </c>
      <c r="AP37" s="3">
        <v>0</v>
      </c>
      <c r="AR37" s="3">
        <v>6</v>
      </c>
      <c r="AS37" s="3">
        <v>1</v>
      </c>
      <c r="AT37" s="3">
        <v>2</v>
      </c>
      <c r="AU37" s="3">
        <v>1</v>
      </c>
    </row>
    <row r="38" spans="2:47" ht="43.2" customHeight="1" x14ac:dyDescent="0.3">
      <c r="AF38" s="3">
        <f t="shared" si="0"/>
        <v>0</v>
      </c>
      <c r="AG38" s="3">
        <f t="shared" si="1"/>
        <v>6</v>
      </c>
      <c r="AH38" s="3">
        <v>6</v>
      </c>
      <c r="AI38" s="3">
        <v>2</v>
      </c>
      <c r="AJ38" s="3">
        <v>1</v>
      </c>
      <c r="AK38" s="3">
        <v>3</v>
      </c>
      <c r="AM38" s="3">
        <v>6</v>
      </c>
      <c r="AN38" s="3">
        <v>2</v>
      </c>
      <c r="AO38" s="3">
        <v>1</v>
      </c>
      <c r="AP38" s="3">
        <v>5</v>
      </c>
      <c r="AR38" s="3">
        <v>6</v>
      </c>
      <c r="AS38" s="3">
        <v>2</v>
      </c>
      <c r="AT38" s="3">
        <v>1</v>
      </c>
      <c r="AU38" s="3">
        <v>1</v>
      </c>
    </row>
    <row r="39" spans="2:47" ht="43.2" customHeight="1" x14ac:dyDescent="0.3">
      <c r="AF39" s="3">
        <f t="shared" si="0"/>
        <v>0</v>
      </c>
      <c r="AG39" s="3">
        <f t="shared" si="1"/>
        <v>6</v>
      </c>
      <c r="AH39" s="3">
        <v>6</v>
      </c>
      <c r="AI39" s="3">
        <v>2</v>
      </c>
      <c r="AJ39" s="3">
        <v>2</v>
      </c>
      <c r="AK39" s="3">
        <v>0</v>
      </c>
      <c r="AM39" s="3">
        <v>6</v>
      </c>
      <c r="AN39" s="3">
        <v>2</v>
      </c>
      <c r="AO39" s="3">
        <v>2</v>
      </c>
      <c r="AP39" s="3">
        <v>0</v>
      </c>
      <c r="AR39" s="3">
        <v>6</v>
      </c>
      <c r="AS39" s="3">
        <v>2</v>
      </c>
      <c r="AT39" s="3">
        <v>2</v>
      </c>
      <c r="AU39" s="3">
        <v>0</v>
      </c>
    </row>
    <row r="40" spans="2:47" ht="43.2" customHeight="1" x14ac:dyDescent="0.3">
      <c r="AF40" s="3">
        <f t="shared" si="0"/>
        <v>0</v>
      </c>
      <c r="AG40" s="3">
        <f t="shared" si="1"/>
        <v>6</v>
      </c>
      <c r="AH40" s="3">
        <v>6</v>
      </c>
      <c r="AI40" s="3">
        <v>3</v>
      </c>
      <c r="AJ40" s="3">
        <v>1</v>
      </c>
      <c r="AK40" s="3">
        <v>3</v>
      </c>
      <c r="AM40" s="3">
        <v>6</v>
      </c>
      <c r="AN40" s="3">
        <v>3</v>
      </c>
      <c r="AO40" s="3">
        <v>1</v>
      </c>
      <c r="AP40" s="3">
        <v>0</v>
      </c>
      <c r="AR40" s="3">
        <v>6</v>
      </c>
      <c r="AS40" s="3">
        <v>3</v>
      </c>
      <c r="AT40" s="3">
        <v>1</v>
      </c>
      <c r="AU40" s="3">
        <v>1</v>
      </c>
    </row>
    <row r="41" spans="2:47" ht="43.2" customHeight="1" x14ac:dyDescent="0.3">
      <c r="AF41" s="3">
        <f t="shared" si="0"/>
        <v>1</v>
      </c>
      <c r="AG41" s="3">
        <f t="shared" si="1"/>
        <v>6</v>
      </c>
      <c r="AH41" s="3">
        <v>6</v>
      </c>
      <c r="AI41" s="3">
        <v>3</v>
      </c>
      <c r="AJ41" s="3">
        <v>2</v>
      </c>
      <c r="AK41" s="3">
        <v>0</v>
      </c>
      <c r="AM41" s="3">
        <v>6</v>
      </c>
      <c r="AN41" s="3">
        <v>3</v>
      </c>
      <c r="AO41" s="3">
        <v>2</v>
      </c>
      <c r="AP41" s="3">
        <v>5</v>
      </c>
      <c r="AR41" s="3">
        <v>6</v>
      </c>
      <c r="AS41" s="3">
        <v>3</v>
      </c>
      <c r="AT41" s="3">
        <v>2</v>
      </c>
      <c r="AU41" s="3">
        <v>0</v>
      </c>
    </row>
    <row r="42" spans="2:47" ht="43.2" customHeight="1" x14ac:dyDescent="0.3">
      <c r="AF42" s="3">
        <f t="shared" si="0"/>
        <v>2</v>
      </c>
      <c r="AG42" s="3">
        <f t="shared" si="1"/>
        <v>7</v>
      </c>
      <c r="AH42" s="3">
        <v>7</v>
      </c>
      <c r="AI42" s="3">
        <v>1</v>
      </c>
      <c r="AJ42" s="3">
        <v>1</v>
      </c>
      <c r="AK42" s="3">
        <v>10</v>
      </c>
      <c r="AM42" s="3">
        <v>7</v>
      </c>
      <c r="AN42" s="3">
        <v>1</v>
      </c>
      <c r="AO42" s="3">
        <v>1</v>
      </c>
      <c r="AP42" s="3">
        <v>0</v>
      </c>
      <c r="AR42" s="3">
        <v>7</v>
      </c>
      <c r="AS42" s="3">
        <v>1</v>
      </c>
      <c r="AT42" s="3">
        <v>1</v>
      </c>
      <c r="AU42" s="3">
        <v>1</v>
      </c>
    </row>
    <row r="43" spans="2:47" ht="43.2" customHeight="1" x14ac:dyDescent="0.3">
      <c r="AF43" s="3">
        <f t="shared" si="0"/>
        <v>1</v>
      </c>
      <c r="AG43" s="3">
        <f t="shared" si="1"/>
        <v>7</v>
      </c>
      <c r="AH43" s="3">
        <v>7</v>
      </c>
      <c r="AI43" s="3">
        <v>1</v>
      </c>
      <c r="AJ43" s="3">
        <v>2</v>
      </c>
      <c r="AK43" s="3">
        <v>0</v>
      </c>
      <c r="AM43" s="3">
        <v>7</v>
      </c>
      <c r="AN43" s="3">
        <v>1</v>
      </c>
      <c r="AO43" s="3">
        <v>2</v>
      </c>
      <c r="AP43" s="3">
        <v>6</v>
      </c>
      <c r="AR43" s="3">
        <v>7</v>
      </c>
      <c r="AS43" s="3">
        <v>1</v>
      </c>
      <c r="AT43" s="3">
        <v>2</v>
      </c>
      <c r="AU43" s="3">
        <v>1</v>
      </c>
    </row>
    <row r="44" spans="2:47" ht="43.2" customHeight="1" x14ac:dyDescent="0.3">
      <c r="AF44" s="3">
        <f t="shared" si="0"/>
        <v>0</v>
      </c>
      <c r="AG44" s="3">
        <f t="shared" si="1"/>
        <v>7</v>
      </c>
      <c r="AH44" s="3">
        <v>7</v>
      </c>
      <c r="AI44" s="3">
        <v>2</v>
      </c>
      <c r="AJ44" s="3">
        <v>1</v>
      </c>
      <c r="AK44" s="3">
        <v>7</v>
      </c>
      <c r="AM44" s="3">
        <v>7</v>
      </c>
      <c r="AN44" s="3">
        <v>2</v>
      </c>
      <c r="AO44" s="3">
        <v>1</v>
      </c>
      <c r="AP44" s="3">
        <v>0</v>
      </c>
      <c r="AR44" s="3">
        <v>7</v>
      </c>
      <c r="AS44" s="3">
        <v>2</v>
      </c>
      <c r="AT44" s="3">
        <v>1</v>
      </c>
      <c r="AU44" s="3">
        <v>1</v>
      </c>
    </row>
    <row r="45" spans="2:47" ht="43.2" customHeight="1" x14ac:dyDescent="0.3">
      <c r="AF45" s="3">
        <f t="shared" si="0"/>
        <v>0</v>
      </c>
      <c r="AG45" s="3">
        <f t="shared" si="1"/>
        <v>7</v>
      </c>
      <c r="AH45" s="3">
        <v>7</v>
      </c>
      <c r="AI45" s="3">
        <v>2</v>
      </c>
      <c r="AJ45" s="3">
        <v>2</v>
      </c>
      <c r="AK45" s="3">
        <v>0</v>
      </c>
      <c r="AM45" s="3">
        <v>7</v>
      </c>
      <c r="AN45" s="3">
        <v>2</v>
      </c>
      <c r="AO45" s="3">
        <v>2</v>
      </c>
      <c r="AP45" s="3">
        <v>6</v>
      </c>
      <c r="AR45" s="3">
        <v>7</v>
      </c>
      <c r="AS45" s="3">
        <v>2</v>
      </c>
      <c r="AT45" s="3">
        <v>2</v>
      </c>
      <c r="AU45" s="3">
        <v>1</v>
      </c>
    </row>
    <row r="46" spans="2:47" ht="43.2" customHeight="1" x14ac:dyDescent="0.3">
      <c r="AF46" s="3">
        <f t="shared" si="0"/>
        <v>0</v>
      </c>
      <c r="AG46" s="3">
        <f t="shared" si="1"/>
        <v>7</v>
      </c>
      <c r="AH46" s="3">
        <v>7</v>
      </c>
      <c r="AI46" s="3">
        <v>3</v>
      </c>
      <c r="AJ46" s="3">
        <v>1</v>
      </c>
      <c r="AK46" s="3">
        <v>3</v>
      </c>
      <c r="AM46" s="3">
        <v>7</v>
      </c>
      <c r="AN46" s="3">
        <v>3</v>
      </c>
      <c r="AO46" s="3">
        <v>1</v>
      </c>
      <c r="AP46" s="3">
        <v>10</v>
      </c>
      <c r="AR46" s="3">
        <v>7</v>
      </c>
      <c r="AS46" s="3">
        <v>3</v>
      </c>
      <c r="AT46" s="3">
        <v>1</v>
      </c>
      <c r="AU46" s="3">
        <v>1</v>
      </c>
    </row>
    <row r="47" spans="2:47" ht="43.2" customHeight="1" x14ac:dyDescent="0.3">
      <c r="AF47" s="3">
        <f t="shared" si="0"/>
        <v>1</v>
      </c>
      <c r="AG47" s="3">
        <f t="shared" si="1"/>
        <v>7</v>
      </c>
      <c r="AH47" s="3">
        <v>7</v>
      </c>
      <c r="AI47" s="3">
        <v>3</v>
      </c>
      <c r="AJ47" s="3">
        <v>2</v>
      </c>
      <c r="AK47" s="3">
        <v>0</v>
      </c>
      <c r="AM47" s="3">
        <v>7</v>
      </c>
      <c r="AN47" s="3">
        <v>3</v>
      </c>
      <c r="AO47" s="3">
        <v>2</v>
      </c>
      <c r="AP47" s="3">
        <v>0</v>
      </c>
      <c r="AR47" s="3">
        <v>7</v>
      </c>
      <c r="AS47" s="3">
        <v>3</v>
      </c>
      <c r="AT47" s="3">
        <v>2</v>
      </c>
      <c r="AU47" s="3">
        <v>1</v>
      </c>
    </row>
    <row r="48" spans="2:47" ht="43.2" customHeight="1" x14ac:dyDescent="0.3">
      <c r="AF48" s="3">
        <f t="shared" si="0"/>
        <v>2</v>
      </c>
      <c r="AG48" s="3">
        <f t="shared" si="1"/>
        <v>8</v>
      </c>
      <c r="AH48" s="3">
        <v>8</v>
      </c>
      <c r="AI48" s="3">
        <v>1</v>
      </c>
      <c r="AJ48" s="3">
        <v>1</v>
      </c>
      <c r="AK48" s="3">
        <v>0</v>
      </c>
      <c r="AM48" s="3">
        <v>8</v>
      </c>
      <c r="AN48" s="3">
        <v>1</v>
      </c>
      <c r="AO48" s="3">
        <v>1</v>
      </c>
      <c r="AP48" s="3">
        <v>2</v>
      </c>
      <c r="AR48" s="3">
        <v>8</v>
      </c>
      <c r="AS48" s="3">
        <v>1</v>
      </c>
      <c r="AT48" s="3">
        <v>1</v>
      </c>
      <c r="AU48" s="3">
        <v>1</v>
      </c>
    </row>
    <row r="49" spans="32:47" ht="43.2" customHeight="1" x14ac:dyDescent="0.3">
      <c r="AF49" s="3">
        <f t="shared" si="0"/>
        <v>1</v>
      </c>
      <c r="AG49" s="3">
        <f t="shared" si="1"/>
        <v>8</v>
      </c>
      <c r="AH49" s="3">
        <v>8</v>
      </c>
      <c r="AI49" s="3">
        <v>1</v>
      </c>
      <c r="AJ49" s="3">
        <v>2</v>
      </c>
      <c r="AK49" s="3">
        <v>7</v>
      </c>
      <c r="AM49" s="3">
        <v>8</v>
      </c>
      <c r="AN49" s="3">
        <v>1</v>
      </c>
      <c r="AO49" s="3">
        <v>2</v>
      </c>
      <c r="AP49" s="3">
        <v>0</v>
      </c>
      <c r="AR49" s="3">
        <v>8</v>
      </c>
      <c r="AS49" s="3">
        <v>1</v>
      </c>
      <c r="AT49" s="3">
        <v>2</v>
      </c>
      <c r="AU49" s="3">
        <v>0</v>
      </c>
    </row>
    <row r="50" spans="32:47" ht="43.2" customHeight="1" x14ac:dyDescent="0.3">
      <c r="AF50" s="3">
        <f t="shared" si="0"/>
        <v>0</v>
      </c>
      <c r="AG50" s="3">
        <f t="shared" si="1"/>
        <v>8</v>
      </c>
      <c r="AH50" s="3">
        <v>8</v>
      </c>
      <c r="AI50" s="3">
        <v>2</v>
      </c>
      <c r="AJ50" s="3">
        <v>1</v>
      </c>
      <c r="AK50" s="3">
        <v>0</v>
      </c>
      <c r="AM50" s="3">
        <v>8</v>
      </c>
      <c r="AN50" s="3">
        <v>2</v>
      </c>
      <c r="AO50" s="3">
        <v>1</v>
      </c>
      <c r="AP50" s="3">
        <v>1</v>
      </c>
      <c r="AR50" s="3">
        <v>8</v>
      </c>
      <c r="AS50" s="3">
        <v>2</v>
      </c>
      <c r="AT50" s="3">
        <v>1</v>
      </c>
      <c r="AU50" s="3">
        <v>0</v>
      </c>
    </row>
    <row r="51" spans="32:47" ht="43.2" customHeight="1" x14ac:dyDescent="0.3">
      <c r="AF51" s="3">
        <f t="shared" si="0"/>
        <v>0</v>
      </c>
      <c r="AG51" s="3">
        <f t="shared" si="1"/>
        <v>8</v>
      </c>
      <c r="AH51" s="3">
        <v>8</v>
      </c>
      <c r="AI51" s="3">
        <v>2</v>
      </c>
      <c r="AJ51" s="3">
        <v>2</v>
      </c>
      <c r="AK51" s="3">
        <v>6</v>
      </c>
      <c r="AM51" s="3">
        <v>8</v>
      </c>
      <c r="AN51" s="3">
        <v>2</v>
      </c>
      <c r="AO51" s="3">
        <v>2</v>
      </c>
      <c r="AP51" s="3">
        <v>0</v>
      </c>
      <c r="AR51" s="3">
        <v>8</v>
      </c>
      <c r="AS51" s="3">
        <v>2</v>
      </c>
      <c r="AT51" s="3">
        <v>2</v>
      </c>
      <c r="AU51" s="3">
        <v>1</v>
      </c>
    </row>
    <row r="52" spans="32:47" ht="43.2" customHeight="1" x14ac:dyDescent="0.3">
      <c r="AF52" s="3">
        <f t="shared" si="0"/>
        <v>0</v>
      </c>
      <c r="AG52" s="3">
        <f t="shared" si="1"/>
        <v>8</v>
      </c>
      <c r="AH52" s="3">
        <v>8</v>
      </c>
      <c r="AI52" s="3">
        <v>3</v>
      </c>
      <c r="AJ52" s="3">
        <v>1</v>
      </c>
      <c r="AK52" s="3">
        <v>0</v>
      </c>
      <c r="AM52" s="3">
        <v>8</v>
      </c>
      <c r="AN52" s="3">
        <v>3</v>
      </c>
      <c r="AO52" s="3">
        <v>1</v>
      </c>
      <c r="AP52" s="3">
        <v>0</v>
      </c>
      <c r="AR52" s="3">
        <v>8</v>
      </c>
      <c r="AS52" s="3">
        <v>3</v>
      </c>
      <c r="AT52" s="3">
        <v>1</v>
      </c>
      <c r="AU52" s="3">
        <v>1</v>
      </c>
    </row>
    <row r="53" spans="32:47" ht="43.2" customHeight="1" x14ac:dyDescent="0.3">
      <c r="AF53" s="3">
        <f t="shared" si="0"/>
        <v>1</v>
      </c>
      <c r="AG53" s="3">
        <f t="shared" si="1"/>
        <v>8</v>
      </c>
      <c r="AH53" s="3">
        <v>8</v>
      </c>
      <c r="AI53" s="3">
        <v>3</v>
      </c>
      <c r="AJ53" s="3">
        <v>2</v>
      </c>
      <c r="AK53" s="3">
        <v>3</v>
      </c>
      <c r="AM53" s="3">
        <v>8</v>
      </c>
      <c r="AN53" s="3">
        <v>3</v>
      </c>
      <c r="AO53" s="3">
        <v>2</v>
      </c>
      <c r="AP53" s="3">
        <v>1</v>
      </c>
      <c r="AR53" s="3">
        <v>8</v>
      </c>
      <c r="AS53" s="3">
        <v>3</v>
      </c>
      <c r="AT53" s="3">
        <v>2</v>
      </c>
      <c r="AU53" s="3">
        <v>1</v>
      </c>
    </row>
    <row r="54" spans="32:47" ht="43.2" customHeight="1" x14ac:dyDescent="0.3">
      <c r="AF54" s="3">
        <f t="shared" ref="AF54:AF65" si="2">COUNTIF(AI52:AI53,3)</f>
        <v>2</v>
      </c>
      <c r="AG54" s="3">
        <f t="shared" ref="AG54:AG65" si="3">IF(AF54=2,AG53+1,AG53)</f>
        <v>9</v>
      </c>
      <c r="AH54" s="3">
        <v>9</v>
      </c>
      <c r="AI54" s="3">
        <v>1</v>
      </c>
      <c r="AJ54" s="3">
        <v>1</v>
      </c>
      <c r="AK54" s="3">
        <v>0</v>
      </c>
      <c r="AM54" s="3">
        <v>9</v>
      </c>
      <c r="AN54" s="3">
        <v>1</v>
      </c>
      <c r="AO54" s="3">
        <v>1</v>
      </c>
      <c r="AP54" s="3">
        <v>0</v>
      </c>
      <c r="AR54" s="3">
        <v>9</v>
      </c>
      <c r="AS54" s="3">
        <v>1</v>
      </c>
      <c r="AT54" s="3">
        <v>1</v>
      </c>
      <c r="AU54" s="3">
        <v>1</v>
      </c>
    </row>
    <row r="55" spans="32:47" ht="43.2" customHeight="1" x14ac:dyDescent="0.3">
      <c r="AF55" s="3">
        <f t="shared" si="2"/>
        <v>1</v>
      </c>
      <c r="AG55" s="3">
        <f t="shared" si="3"/>
        <v>9</v>
      </c>
      <c r="AH55" s="3">
        <v>9</v>
      </c>
      <c r="AI55" s="3">
        <v>1</v>
      </c>
      <c r="AJ55" s="3">
        <v>2</v>
      </c>
      <c r="AK55" s="3">
        <v>4</v>
      </c>
      <c r="AM55" s="3">
        <v>9</v>
      </c>
      <c r="AN55" s="3">
        <v>1</v>
      </c>
      <c r="AO55" s="3">
        <v>2</v>
      </c>
      <c r="AP55" s="3">
        <v>7</v>
      </c>
      <c r="AR55" s="3">
        <v>9</v>
      </c>
      <c r="AS55" s="3">
        <v>1</v>
      </c>
      <c r="AT55" s="3">
        <v>2</v>
      </c>
      <c r="AU55" s="3">
        <v>1</v>
      </c>
    </row>
    <row r="56" spans="32:47" ht="43.2" customHeight="1" x14ac:dyDescent="0.3">
      <c r="AF56" s="3">
        <f t="shared" si="2"/>
        <v>0</v>
      </c>
      <c r="AG56" s="3">
        <f t="shared" si="3"/>
        <v>9</v>
      </c>
      <c r="AH56" s="3">
        <v>9</v>
      </c>
      <c r="AI56" s="3">
        <v>2</v>
      </c>
      <c r="AJ56" s="3">
        <v>1</v>
      </c>
      <c r="AK56" s="3">
        <v>6</v>
      </c>
      <c r="AM56" s="3">
        <v>9</v>
      </c>
      <c r="AN56" s="3">
        <v>2</v>
      </c>
      <c r="AO56" s="3">
        <v>1</v>
      </c>
      <c r="AP56" s="3">
        <v>10</v>
      </c>
      <c r="AR56" s="3">
        <v>9</v>
      </c>
      <c r="AS56" s="3">
        <v>2</v>
      </c>
      <c r="AT56" s="3">
        <v>1</v>
      </c>
      <c r="AU56" s="3">
        <v>0</v>
      </c>
    </row>
    <row r="57" spans="32:47" ht="43.2" customHeight="1" x14ac:dyDescent="0.3">
      <c r="AF57" s="3">
        <f t="shared" si="2"/>
        <v>0</v>
      </c>
      <c r="AG57" s="3">
        <f t="shared" si="3"/>
        <v>9</v>
      </c>
      <c r="AH57" s="3">
        <v>9</v>
      </c>
      <c r="AI57" s="3">
        <v>2</v>
      </c>
      <c r="AJ57" s="3">
        <v>2</v>
      </c>
      <c r="AK57" s="3">
        <v>0</v>
      </c>
      <c r="AM57" s="3">
        <v>9</v>
      </c>
      <c r="AN57" s="3">
        <v>2</v>
      </c>
      <c r="AO57" s="3">
        <v>2</v>
      </c>
      <c r="AP57" s="3">
        <v>0</v>
      </c>
      <c r="AR57" s="3">
        <v>9</v>
      </c>
      <c r="AS57" s="3">
        <v>2</v>
      </c>
      <c r="AT57" s="3">
        <v>2</v>
      </c>
      <c r="AU57" s="3">
        <v>1</v>
      </c>
    </row>
    <row r="58" spans="32:47" ht="43.2" customHeight="1" x14ac:dyDescent="0.3">
      <c r="AF58" s="3">
        <f t="shared" si="2"/>
        <v>0</v>
      </c>
      <c r="AG58" s="3">
        <f t="shared" si="3"/>
        <v>9</v>
      </c>
      <c r="AH58" s="3">
        <v>9</v>
      </c>
      <c r="AI58" s="3">
        <v>3</v>
      </c>
      <c r="AJ58" s="3">
        <v>1</v>
      </c>
      <c r="AK58" s="3">
        <v>6</v>
      </c>
      <c r="AM58" s="3">
        <v>9</v>
      </c>
      <c r="AN58" s="3">
        <v>3</v>
      </c>
      <c r="AO58" s="3">
        <v>1</v>
      </c>
      <c r="AP58" s="3">
        <v>0</v>
      </c>
      <c r="AR58" s="3">
        <v>9</v>
      </c>
      <c r="AS58" s="3">
        <v>3</v>
      </c>
      <c r="AT58" s="3">
        <v>1</v>
      </c>
      <c r="AU58" s="3">
        <v>1</v>
      </c>
    </row>
    <row r="59" spans="32:47" ht="43.2" customHeight="1" x14ac:dyDescent="0.3">
      <c r="AF59" s="3">
        <f t="shared" si="2"/>
        <v>1</v>
      </c>
      <c r="AG59" s="3">
        <f t="shared" si="3"/>
        <v>9</v>
      </c>
      <c r="AH59" s="3">
        <v>9</v>
      </c>
      <c r="AI59" s="3">
        <v>3</v>
      </c>
      <c r="AJ59" s="3">
        <v>2</v>
      </c>
      <c r="AK59" s="3">
        <v>0</v>
      </c>
      <c r="AM59" s="3">
        <v>9</v>
      </c>
      <c r="AN59" s="3">
        <v>3</v>
      </c>
      <c r="AO59" s="3">
        <v>2</v>
      </c>
      <c r="AP59" s="3">
        <v>7</v>
      </c>
      <c r="AR59" s="3">
        <v>9</v>
      </c>
      <c r="AS59" s="3">
        <v>3</v>
      </c>
      <c r="AT59" s="3">
        <v>2</v>
      </c>
      <c r="AU59" s="3">
        <v>0</v>
      </c>
    </row>
    <row r="60" spans="32:47" ht="43.2" customHeight="1" x14ac:dyDescent="0.3">
      <c r="AF60" s="3">
        <f t="shared" si="2"/>
        <v>2</v>
      </c>
      <c r="AG60" s="3">
        <f t="shared" si="3"/>
        <v>10</v>
      </c>
      <c r="AH60" s="3">
        <v>10</v>
      </c>
      <c r="AI60" s="3">
        <v>1</v>
      </c>
      <c r="AJ60" s="3">
        <v>1</v>
      </c>
      <c r="AK60" s="3">
        <v>0</v>
      </c>
      <c r="AM60" s="3">
        <v>10</v>
      </c>
      <c r="AN60" s="3">
        <v>1</v>
      </c>
      <c r="AO60" s="3">
        <v>1</v>
      </c>
      <c r="AP60" s="3">
        <v>8</v>
      </c>
      <c r="AR60" s="3">
        <v>10</v>
      </c>
      <c r="AS60" s="3">
        <v>1</v>
      </c>
      <c r="AT60" s="3">
        <v>1</v>
      </c>
      <c r="AU60" s="3">
        <v>1</v>
      </c>
    </row>
    <row r="61" spans="32:47" ht="43.2" customHeight="1" x14ac:dyDescent="0.3">
      <c r="AF61" s="3">
        <f t="shared" si="2"/>
        <v>1</v>
      </c>
      <c r="AG61" s="3">
        <f t="shared" si="3"/>
        <v>10</v>
      </c>
      <c r="AH61" s="3">
        <v>10</v>
      </c>
      <c r="AI61" s="3">
        <v>1</v>
      </c>
      <c r="AJ61" s="3">
        <v>2</v>
      </c>
      <c r="AK61" s="3">
        <v>8</v>
      </c>
      <c r="AM61" s="3">
        <v>10</v>
      </c>
      <c r="AN61" s="3">
        <v>1</v>
      </c>
      <c r="AO61" s="3">
        <v>2</v>
      </c>
      <c r="AP61" s="3">
        <v>0</v>
      </c>
      <c r="AR61" s="3">
        <v>10</v>
      </c>
      <c r="AS61" s="3">
        <v>1</v>
      </c>
      <c r="AT61" s="3">
        <v>2</v>
      </c>
      <c r="AU61" s="3">
        <v>1</v>
      </c>
    </row>
    <row r="62" spans="32:47" ht="43.2" customHeight="1" x14ac:dyDescent="0.3">
      <c r="AF62" s="3">
        <f t="shared" si="2"/>
        <v>0</v>
      </c>
      <c r="AG62" s="3">
        <f t="shared" si="3"/>
        <v>10</v>
      </c>
      <c r="AH62" s="3">
        <v>10</v>
      </c>
      <c r="AI62" s="3">
        <v>2</v>
      </c>
      <c r="AJ62" s="3">
        <v>1</v>
      </c>
      <c r="AK62" s="3">
        <v>0</v>
      </c>
      <c r="AM62" s="3">
        <v>10</v>
      </c>
      <c r="AN62" s="3">
        <v>2</v>
      </c>
      <c r="AO62" s="3">
        <v>1</v>
      </c>
      <c r="AP62" s="3">
        <v>0</v>
      </c>
      <c r="AR62" s="3">
        <v>10</v>
      </c>
      <c r="AS62" s="3">
        <v>2</v>
      </c>
      <c r="AT62" s="3">
        <v>1</v>
      </c>
      <c r="AU62" s="3">
        <v>0</v>
      </c>
    </row>
    <row r="63" spans="32:47" ht="43.2" customHeight="1" x14ac:dyDescent="0.3">
      <c r="AF63" s="3">
        <f t="shared" si="2"/>
        <v>0</v>
      </c>
      <c r="AG63" s="3">
        <f t="shared" si="3"/>
        <v>10</v>
      </c>
      <c r="AH63" s="3">
        <v>10</v>
      </c>
      <c r="AI63" s="3">
        <v>2</v>
      </c>
      <c r="AJ63" s="3">
        <v>2</v>
      </c>
      <c r="AK63" s="3">
        <v>0</v>
      </c>
      <c r="AM63" s="3">
        <v>10</v>
      </c>
      <c r="AN63" s="3">
        <v>2</v>
      </c>
      <c r="AO63" s="3">
        <v>2</v>
      </c>
      <c r="AP63" s="3">
        <v>0</v>
      </c>
      <c r="AR63" s="3">
        <v>10</v>
      </c>
      <c r="AS63" s="3">
        <v>2</v>
      </c>
      <c r="AT63" s="3">
        <v>2</v>
      </c>
      <c r="AU63" s="3">
        <v>0</v>
      </c>
    </row>
    <row r="64" spans="32:47" ht="43.2" customHeight="1" x14ac:dyDescent="0.3">
      <c r="AF64" s="3">
        <f t="shared" si="2"/>
        <v>0</v>
      </c>
      <c r="AG64" s="3">
        <f t="shared" si="3"/>
        <v>10</v>
      </c>
      <c r="AH64" s="3">
        <v>10</v>
      </c>
      <c r="AI64" s="3">
        <v>3</v>
      </c>
      <c r="AJ64" s="3">
        <v>1</v>
      </c>
      <c r="AK64" s="3">
        <v>0</v>
      </c>
      <c r="AM64" s="3">
        <v>10</v>
      </c>
      <c r="AN64" s="3">
        <v>3</v>
      </c>
      <c r="AO64" s="3">
        <v>1</v>
      </c>
      <c r="AP64" s="3">
        <v>0</v>
      </c>
      <c r="AR64" s="3">
        <v>10</v>
      </c>
      <c r="AS64" s="3">
        <v>3</v>
      </c>
      <c r="AT64" s="3">
        <v>1</v>
      </c>
      <c r="AU64" s="3">
        <v>0</v>
      </c>
    </row>
    <row r="65" spans="32:47" ht="43.2" customHeight="1" x14ac:dyDescent="0.3">
      <c r="AF65" s="3">
        <f t="shared" si="2"/>
        <v>1</v>
      </c>
      <c r="AG65" s="3">
        <f t="shared" si="3"/>
        <v>10</v>
      </c>
      <c r="AH65" s="3">
        <v>10</v>
      </c>
      <c r="AI65" s="3">
        <v>3</v>
      </c>
      <c r="AJ65" s="3">
        <v>2</v>
      </c>
      <c r="AK65" s="3">
        <v>0</v>
      </c>
      <c r="AM65" s="3">
        <v>10</v>
      </c>
      <c r="AN65" s="3">
        <v>3</v>
      </c>
      <c r="AO65" s="3">
        <v>2</v>
      </c>
      <c r="AP65" s="3">
        <v>0</v>
      </c>
      <c r="AR65" s="3">
        <v>10</v>
      </c>
      <c r="AS65" s="3">
        <v>3</v>
      </c>
      <c r="AT65" s="3">
        <v>2</v>
      </c>
      <c r="AU65" s="3">
        <v>0</v>
      </c>
    </row>
  </sheetData>
  <mergeCells count="1">
    <mergeCell ref="AH3:AK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7959-70F3-4F95-8871-A22B69547364}">
  <dimension ref="B1:AZ90"/>
  <sheetViews>
    <sheetView topLeftCell="AE8" workbookViewId="0">
      <selection activeCell="AL12" sqref="AL12"/>
    </sheetView>
  </sheetViews>
  <sheetFormatPr defaultRowHeight="14.4" x14ac:dyDescent="0.3"/>
  <cols>
    <col min="37" max="37" width="13.77734375" bestFit="1" customWidth="1"/>
    <col min="38" max="40" width="10.44140625" customWidth="1"/>
  </cols>
  <sheetData>
    <row r="1" spans="2:52" x14ac:dyDescent="0.3">
      <c r="B1" t="s">
        <v>33</v>
      </c>
      <c r="C1" t="s">
        <v>34</v>
      </c>
      <c r="D1">
        <v>1</v>
      </c>
    </row>
    <row r="2" spans="2:52" x14ac:dyDescent="0.3">
      <c r="B2" t="s">
        <v>35</v>
      </c>
      <c r="C2" t="s">
        <v>36</v>
      </c>
      <c r="D2" t="s">
        <v>37</v>
      </c>
      <c r="E2" t="s">
        <v>38</v>
      </c>
      <c r="F2">
        <v>18</v>
      </c>
    </row>
    <row r="3" spans="2:52" x14ac:dyDescent="0.3">
      <c r="B3" t="s">
        <v>39</v>
      </c>
      <c r="C3" t="s">
        <v>34</v>
      </c>
      <c r="D3">
        <v>120</v>
      </c>
    </row>
    <row r="4" spans="2:52" x14ac:dyDescent="0.3">
      <c r="B4" t="s">
        <v>32</v>
      </c>
    </row>
    <row r="5" spans="2:52" x14ac:dyDescent="0.3">
      <c r="C5" t="s">
        <v>40</v>
      </c>
      <c r="D5" t="s">
        <v>41</v>
      </c>
      <c r="E5" t="s">
        <v>34</v>
      </c>
      <c r="F5">
        <v>2</v>
      </c>
      <c r="G5" t="s">
        <v>8</v>
      </c>
    </row>
    <row r="6" spans="2:52" x14ac:dyDescent="0.3">
      <c r="C6" t="s">
        <v>40</v>
      </c>
      <c r="D6" t="s">
        <v>42</v>
      </c>
      <c r="E6" t="s">
        <v>34</v>
      </c>
      <c r="F6">
        <v>2</v>
      </c>
      <c r="G6" t="s">
        <v>43</v>
      </c>
    </row>
    <row r="7" spans="2:52" x14ac:dyDescent="0.3">
      <c r="C7" t="s">
        <v>40</v>
      </c>
      <c r="D7" t="s">
        <v>44</v>
      </c>
      <c r="E7" t="s">
        <v>45</v>
      </c>
      <c r="F7" t="s">
        <v>34</v>
      </c>
      <c r="G7">
        <v>0</v>
      </c>
      <c r="H7" t="s">
        <v>46</v>
      </c>
    </row>
    <row r="9" spans="2:52" x14ac:dyDescent="0.3">
      <c r="B9" t="s">
        <v>47</v>
      </c>
      <c r="C9" t="s">
        <v>48</v>
      </c>
    </row>
    <row r="10" spans="2:52" x14ac:dyDescent="0.3">
      <c r="B10" t="s">
        <v>49</v>
      </c>
      <c r="C10" t="s">
        <v>50</v>
      </c>
      <c r="D10" t="s">
        <v>51</v>
      </c>
      <c r="E10" t="s">
        <v>21</v>
      </c>
      <c r="F10" t="s">
        <v>52</v>
      </c>
      <c r="G10" t="s">
        <v>53</v>
      </c>
      <c r="AK10" t="s">
        <v>62</v>
      </c>
      <c r="AL10">
        <v>1</v>
      </c>
      <c r="AM10">
        <v>2</v>
      </c>
      <c r="AN10">
        <v>3</v>
      </c>
      <c r="AQ10" t="s">
        <v>67</v>
      </c>
      <c r="AR10" t="s">
        <v>68</v>
      </c>
      <c r="AS10" t="s">
        <v>69</v>
      </c>
      <c r="AT10" t="s">
        <v>58</v>
      </c>
      <c r="AU10" t="s">
        <v>59</v>
      </c>
      <c r="AV10" t="s">
        <v>60</v>
      </c>
      <c r="AW10" t="s">
        <v>61</v>
      </c>
      <c r="AX10" t="s">
        <v>63</v>
      </c>
      <c r="AY10" t="s">
        <v>73</v>
      </c>
      <c r="AZ10" t="s">
        <v>74</v>
      </c>
    </row>
    <row r="11" spans="2:52" x14ac:dyDescent="0.3">
      <c r="C11">
        <v>1</v>
      </c>
      <c r="D11">
        <v>16</v>
      </c>
      <c r="E11">
        <v>0</v>
      </c>
      <c r="F11">
        <v>21</v>
      </c>
      <c r="G11">
        <v>2</v>
      </c>
      <c r="H11">
        <v>21</v>
      </c>
      <c r="AK11">
        <v>1</v>
      </c>
      <c r="AL11" t="s">
        <v>70</v>
      </c>
      <c r="AM11" t="s">
        <v>71</v>
      </c>
      <c r="AN11" t="s">
        <v>72</v>
      </c>
      <c r="AO11">
        <f t="shared" ref="AO11:AO28" si="0">COUNTIF(AL12:AN12,1)</f>
        <v>1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3</v>
      </c>
      <c r="AY11">
        <f>IF(AX11=3,1,IF(AX11=1,1,0))</f>
        <v>1</v>
      </c>
      <c r="AZ11">
        <f>IF(AX11=3,1,IF(AX11=2,1,0))</f>
        <v>1</v>
      </c>
    </row>
    <row r="12" spans="2:52" x14ac:dyDescent="0.3">
      <c r="AK12">
        <v>2</v>
      </c>
      <c r="AL12">
        <v>1</v>
      </c>
      <c r="AM12">
        <v>2</v>
      </c>
      <c r="AN12">
        <v>3</v>
      </c>
      <c r="AO12">
        <f t="shared" si="0"/>
        <v>1</v>
      </c>
      <c r="AQ12">
        <v>2</v>
      </c>
      <c r="AR12">
        <v>1</v>
      </c>
      <c r="AS12">
        <v>7</v>
      </c>
      <c r="AT12">
        <v>10</v>
      </c>
      <c r="AU12">
        <v>0</v>
      </c>
      <c r="AV12">
        <v>10</v>
      </c>
      <c r="AW12">
        <v>0</v>
      </c>
      <c r="AX12">
        <v>2</v>
      </c>
      <c r="AY12">
        <f t="shared" ref="AY12:AY60" si="1">IF(AX12=3,1,IF(AX12=1,1,0))</f>
        <v>0</v>
      </c>
      <c r="AZ12">
        <f t="shared" ref="AZ12:AZ60" si="2">IF(AX12=3,1,IF(AX12=2,1,0))</f>
        <v>1</v>
      </c>
    </row>
    <row r="13" spans="2:52" x14ac:dyDescent="0.3">
      <c r="C13" t="s">
        <v>54</v>
      </c>
      <c r="D13" t="s">
        <v>55</v>
      </c>
      <c r="AK13">
        <v>3</v>
      </c>
      <c r="AL13">
        <v>2</v>
      </c>
      <c r="AM13">
        <v>1</v>
      </c>
      <c r="AN13">
        <v>3</v>
      </c>
      <c r="AO13">
        <f t="shared" si="0"/>
        <v>1</v>
      </c>
      <c r="AQ13">
        <v>2</v>
      </c>
      <c r="AR13">
        <v>2</v>
      </c>
      <c r="AS13">
        <v>8</v>
      </c>
      <c r="AT13">
        <v>6</v>
      </c>
      <c r="AU13">
        <v>0</v>
      </c>
      <c r="AV13">
        <v>9</v>
      </c>
      <c r="AW13">
        <v>0</v>
      </c>
      <c r="AX13">
        <v>1</v>
      </c>
      <c r="AY13">
        <f t="shared" si="1"/>
        <v>1</v>
      </c>
      <c r="AZ13">
        <f t="shared" si="2"/>
        <v>0</v>
      </c>
    </row>
    <row r="14" spans="2:52" x14ac:dyDescent="0.3">
      <c r="C14" t="s">
        <v>4</v>
      </c>
      <c r="D14" t="s">
        <v>56</v>
      </c>
      <c r="E14" t="s">
        <v>57</v>
      </c>
      <c r="F14" t="s">
        <v>5</v>
      </c>
      <c r="O14">
        <v>1</v>
      </c>
      <c r="P14">
        <v>2</v>
      </c>
      <c r="Q14">
        <v>3</v>
      </c>
      <c r="R14">
        <v>4</v>
      </c>
      <c r="S14">
        <v>5</v>
      </c>
      <c r="T14">
        <v>6</v>
      </c>
      <c r="U14">
        <v>7</v>
      </c>
      <c r="V14">
        <v>8</v>
      </c>
      <c r="W14">
        <v>9</v>
      </c>
      <c r="X14">
        <v>10</v>
      </c>
      <c r="Y14">
        <v>11</v>
      </c>
      <c r="Z14">
        <v>12</v>
      </c>
      <c r="AA14">
        <v>13</v>
      </c>
      <c r="AB14">
        <v>14</v>
      </c>
      <c r="AC14">
        <v>15</v>
      </c>
      <c r="AD14">
        <v>16</v>
      </c>
      <c r="AE14">
        <v>17</v>
      </c>
      <c r="AF14">
        <v>18</v>
      </c>
      <c r="AK14">
        <v>4</v>
      </c>
      <c r="AL14">
        <v>3</v>
      </c>
      <c r="AM14">
        <v>2</v>
      </c>
      <c r="AN14">
        <v>1</v>
      </c>
      <c r="AO14">
        <f t="shared" si="0"/>
        <v>2</v>
      </c>
      <c r="AQ14">
        <v>2</v>
      </c>
      <c r="AR14">
        <v>3</v>
      </c>
      <c r="AS14">
        <v>8</v>
      </c>
      <c r="AT14">
        <v>3</v>
      </c>
      <c r="AU14">
        <v>0</v>
      </c>
      <c r="AV14">
        <v>0</v>
      </c>
      <c r="AW14">
        <v>5</v>
      </c>
      <c r="AX14">
        <v>3</v>
      </c>
      <c r="AY14">
        <f t="shared" si="1"/>
        <v>1</v>
      </c>
      <c r="AZ14">
        <f t="shared" si="2"/>
        <v>1</v>
      </c>
    </row>
    <row r="15" spans="2:52" ht="18" x14ac:dyDescent="0.3">
      <c r="C15">
        <v>1</v>
      </c>
      <c r="D15">
        <v>1</v>
      </c>
      <c r="E15">
        <v>3</v>
      </c>
      <c r="F15">
        <v>2</v>
      </c>
      <c r="G15">
        <v>3</v>
      </c>
      <c r="H15">
        <v>4</v>
      </c>
      <c r="N15">
        <v>1</v>
      </c>
      <c r="O15" s="1" t="e">
        <f>HLOOKUP(O$14,$F15:$H15,1,FALSE)</f>
        <v>#N/A</v>
      </c>
      <c r="P15" s="1">
        <f t="shared" ref="P15:AF30" si="3">HLOOKUP(P$14,$F15:$H15,1,FALSE)</f>
        <v>2</v>
      </c>
      <c r="Q15" s="1">
        <f t="shared" si="3"/>
        <v>3</v>
      </c>
      <c r="R15" s="1">
        <f t="shared" si="3"/>
        <v>4</v>
      </c>
      <c r="S15" s="1" t="e">
        <f t="shared" si="3"/>
        <v>#N/A</v>
      </c>
      <c r="T15" s="1" t="e">
        <f t="shared" si="3"/>
        <v>#N/A</v>
      </c>
      <c r="U15" s="1" t="e">
        <f t="shared" si="3"/>
        <v>#N/A</v>
      </c>
      <c r="V15" s="1" t="e">
        <f t="shared" si="3"/>
        <v>#N/A</v>
      </c>
      <c r="W15" s="1" t="e">
        <f t="shared" si="3"/>
        <v>#N/A</v>
      </c>
      <c r="X15" s="1" t="e">
        <f t="shared" si="3"/>
        <v>#N/A</v>
      </c>
      <c r="Y15" s="1" t="e">
        <f t="shared" si="3"/>
        <v>#N/A</v>
      </c>
      <c r="Z15" s="1" t="e">
        <f t="shared" si="3"/>
        <v>#N/A</v>
      </c>
      <c r="AA15" s="1" t="e">
        <f t="shared" si="3"/>
        <v>#N/A</v>
      </c>
      <c r="AB15" s="1" t="e">
        <f t="shared" si="3"/>
        <v>#N/A</v>
      </c>
      <c r="AC15" s="1" t="e">
        <f t="shared" si="3"/>
        <v>#N/A</v>
      </c>
      <c r="AD15" s="1" t="e">
        <f t="shared" si="3"/>
        <v>#N/A</v>
      </c>
      <c r="AE15" s="1" t="e">
        <f t="shared" si="3"/>
        <v>#N/A</v>
      </c>
      <c r="AF15" s="1" t="e">
        <f t="shared" si="3"/>
        <v>#N/A</v>
      </c>
      <c r="AK15">
        <v>5</v>
      </c>
      <c r="AL15">
        <v>1</v>
      </c>
      <c r="AM15">
        <v>3</v>
      </c>
      <c r="AN15">
        <v>1</v>
      </c>
      <c r="AO15">
        <f t="shared" si="0"/>
        <v>1</v>
      </c>
      <c r="AQ15">
        <v>3</v>
      </c>
      <c r="AR15">
        <v>1</v>
      </c>
      <c r="AS15">
        <v>1</v>
      </c>
      <c r="AT15">
        <v>0</v>
      </c>
      <c r="AU15">
        <v>4</v>
      </c>
      <c r="AV15">
        <v>0</v>
      </c>
      <c r="AW15">
        <v>5</v>
      </c>
      <c r="AX15">
        <v>3</v>
      </c>
      <c r="AY15">
        <f t="shared" si="1"/>
        <v>1</v>
      </c>
      <c r="AZ15">
        <f t="shared" si="2"/>
        <v>1</v>
      </c>
    </row>
    <row r="16" spans="2:52" ht="18" x14ac:dyDescent="0.3">
      <c r="C16">
        <v>2</v>
      </c>
      <c r="D16">
        <v>3</v>
      </c>
      <c r="E16">
        <v>1</v>
      </c>
      <c r="F16">
        <v>16</v>
      </c>
      <c r="N16">
        <v>2</v>
      </c>
      <c r="O16" s="1" t="e">
        <f t="shared" ref="O16:AD32" si="4">HLOOKUP(O$14,$F16:$H16,1,FALSE)</f>
        <v>#N/A</v>
      </c>
      <c r="P16" s="1" t="e">
        <f t="shared" si="4"/>
        <v>#N/A</v>
      </c>
      <c r="Q16" s="1" t="e">
        <f t="shared" si="4"/>
        <v>#N/A</v>
      </c>
      <c r="R16" s="1" t="e">
        <f t="shared" si="4"/>
        <v>#N/A</v>
      </c>
      <c r="S16" s="1" t="e">
        <f t="shared" si="4"/>
        <v>#N/A</v>
      </c>
      <c r="T16" s="1" t="e">
        <f t="shared" si="4"/>
        <v>#N/A</v>
      </c>
      <c r="U16" s="1" t="e">
        <f t="shared" si="4"/>
        <v>#N/A</v>
      </c>
      <c r="V16" s="1" t="e">
        <f t="shared" si="4"/>
        <v>#N/A</v>
      </c>
      <c r="W16" s="1" t="e">
        <f t="shared" si="4"/>
        <v>#N/A</v>
      </c>
      <c r="X16" s="1" t="e">
        <f t="shared" si="4"/>
        <v>#N/A</v>
      </c>
      <c r="Y16" s="1" t="e">
        <f t="shared" si="4"/>
        <v>#N/A</v>
      </c>
      <c r="Z16" s="1" t="e">
        <f t="shared" si="4"/>
        <v>#N/A</v>
      </c>
      <c r="AA16" s="1" t="e">
        <f t="shared" si="4"/>
        <v>#N/A</v>
      </c>
      <c r="AB16" s="1" t="e">
        <f t="shared" si="4"/>
        <v>#N/A</v>
      </c>
      <c r="AC16" s="1" t="e">
        <f t="shared" si="4"/>
        <v>#N/A</v>
      </c>
      <c r="AD16" s="1">
        <f t="shared" si="4"/>
        <v>16</v>
      </c>
      <c r="AE16" s="1" t="e">
        <f t="shared" si="3"/>
        <v>#N/A</v>
      </c>
      <c r="AF16" s="1" t="e">
        <f t="shared" si="3"/>
        <v>#N/A</v>
      </c>
      <c r="AK16">
        <v>6</v>
      </c>
      <c r="AL16">
        <v>2</v>
      </c>
      <c r="AM16">
        <v>1</v>
      </c>
      <c r="AN16">
        <v>3</v>
      </c>
      <c r="AO16">
        <f t="shared" si="0"/>
        <v>2</v>
      </c>
      <c r="AQ16">
        <v>3</v>
      </c>
      <c r="AR16">
        <v>2</v>
      </c>
      <c r="AS16">
        <v>2</v>
      </c>
      <c r="AT16">
        <v>4</v>
      </c>
      <c r="AU16">
        <v>0</v>
      </c>
      <c r="AV16">
        <v>0</v>
      </c>
      <c r="AW16">
        <v>4</v>
      </c>
      <c r="AX16">
        <v>2</v>
      </c>
      <c r="AY16">
        <f t="shared" si="1"/>
        <v>0</v>
      </c>
      <c r="AZ16">
        <f t="shared" si="2"/>
        <v>1</v>
      </c>
    </row>
    <row r="17" spans="3:52" ht="18" x14ac:dyDescent="0.3">
      <c r="C17">
        <v>3</v>
      </c>
      <c r="D17">
        <v>3</v>
      </c>
      <c r="E17">
        <v>2</v>
      </c>
      <c r="F17">
        <v>7</v>
      </c>
      <c r="G17">
        <v>11</v>
      </c>
      <c r="N17">
        <v>3</v>
      </c>
      <c r="O17" s="1" t="e">
        <f t="shared" si="4"/>
        <v>#N/A</v>
      </c>
      <c r="P17" s="1" t="e">
        <f t="shared" si="3"/>
        <v>#N/A</v>
      </c>
      <c r="Q17" s="1" t="e">
        <f t="shared" si="3"/>
        <v>#N/A</v>
      </c>
      <c r="R17" s="1" t="e">
        <f t="shared" si="3"/>
        <v>#N/A</v>
      </c>
      <c r="S17" s="1" t="e">
        <f t="shared" si="3"/>
        <v>#N/A</v>
      </c>
      <c r="T17" s="1" t="e">
        <f t="shared" si="3"/>
        <v>#N/A</v>
      </c>
      <c r="U17" s="1">
        <f t="shared" si="3"/>
        <v>7</v>
      </c>
      <c r="V17" s="1" t="e">
        <f t="shared" si="3"/>
        <v>#N/A</v>
      </c>
      <c r="W17" s="1" t="e">
        <f t="shared" si="3"/>
        <v>#N/A</v>
      </c>
      <c r="X17" s="1" t="e">
        <f t="shared" si="3"/>
        <v>#N/A</v>
      </c>
      <c r="Y17" s="1">
        <f t="shared" si="3"/>
        <v>11</v>
      </c>
      <c r="Z17" s="1" t="e">
        <f t="shared" si="3"/>
        <v>#N/A</v>
      </c>
      <c r="AA17" s="1" t="e">
        <f t="shared" si="3"/>
        <v>#N/A</v>
      </c>
      <c r="AB17" s="1" t="e">
        <f t="shared" si="3"/>
        <v>#N/A</v>
      </c>
      <c r="AC17" s="1" t="e">
        <f t="shared" si="3"/>
        <v>#N/A</v>
      </c>
      <c r="AD17" s="1" t="e">
        <f t="shared" si="3"/>
        <v>#N/A</v>
      </c>
      <c r="AE17" s="1" t="e">
        <f t="shared" si="3"/>
        <v>#N/A</v>
      </c>
      <c r="AF17" s="1" t="e">
        <f t="shared" si="3"/>
        <v>#N/A</v>
      </c>
      <c r="AK17">
        <v>7</v>
      </c>
      <c r="AL17">
        <v>3</v>
      </c>
      <c r="AM17">
        <v>1</v>
      </c>
      <c r="AN17">
        <v>1</v>
      </c>
      <c r="AO17">
        <f t="shared" si="0"/>
        <v>0</v>
      </c>
      <c r="AQ17">
        <v>3</v>
      </c>
      <c r="AR17">
        <v>3</v>
      </c>
      <c r="AS17">
        <v>3</v>
      </c>
      <c r="AT17">
        <v>0</v>
      </c>
      <c r="AU17">
        <v>3</v>
      </c>
      <c r="AV17">
        <v>0</v>
      </c>
      <c r="AW17">
        <v>1</v>
      </c>
      <c r="AX17">
        <v>1</v>
      </c>
      <c r="AY17">
        <f t="shared" si="1"/>
        <v>1</v>
      </c>
      <c r="AZ17">
        <f t="shared" si="2"/>
        <v>0</v>
      </c>
    </row>
    <row r="18" spans="3:52" ht="18" x14ac:dyDescent="0.3">
      <c r="C18">
        <v>4</v>
      </c>
      <c r="D18">
        <v>3</v>
      </c>
      <c r="E18">
        <v>3</v>
      </c>
      <c r="F18">
        <v>5</v>
      </c>
      <c r="G18">
        <v>7</v>
      </c>
      <c r="H18">
        <v>12</v>
      </c>
      <c r="N18">
        <v>4</v>
      </c>
      <c r="O18" s="1" t="e">
        <f t="shared" si="4"/>
        <v>#N/A</v>
      </c>
      <c r="P18" s="1" t="e">
        <f t="shared" si="3"/>
        <v>#N/A</v>
      </c>
      <c r="Q18" s="1" t="e">
        <f t="shared" si="3"/>
        <v>#N/A</v>
      </c>
      <c r="R18" s="1" t="e">
        <f t="shared" si="3"/>
        <v>#N/A</v>
      </c>
      <c r="S18" s="1">
        <f t="shared" si="3"/>
        <v>5</v>
      </c>
      <c r="T18" s="1" t="e">
        <f t="shared" si="3"/>
        <v>#N/A</v>
      </c>
      <c r="U18" s="1">
        <f t="shared" si="3"/>
        <v>7</v>
      </c>
      <c r="V18" s="1" t="e">
        <f t="shared" si="3"/>
        <v>#N/A</v>
      </c>
      <c r="W18" s="1" t="e">
        <f t="shared" si="3"/>
        <v>#N/A</v>
      </c>
      <c r="X18" s="1" t="e">
        <f t="shared" si="3"/>
        <v>#N/A</v>
      </c>
      <c r="Y18" s="1" t="e">
        <f t="shared" si="3"/>
        <v>#N/A</v>
      </c>
      <c r="Z18" s="1">
        <f t="shared" si="3"/>
        <v>12</v>
      </c>
      <c r="AA18" s="1" t="e">
        <f t="shared" si="3"/>
        <v>#N/A</v>
      </c>
      <c r="AB18" s="1" t="e">
        <f t="shared" si="3"/>
        <v>#N/A</v>
      </c>
      <c r="AC18" s="1" t="e">
        <f t="shared" si="3"/>
        <v>#N/A</v>
      </c>
      <c r="AD18" s="1" t="e">
        <f t="shared" si="3"/>
        <v>#N/A</v>
      </c>
      <c r="AE18" s="1" t="e">
        <f t="shared" si="3"/>
        <v>#N/A</v>
      </c>
      <c r="AF18" s="1" t="e">
        <f t="shared" si="3"/>
        <v>#N/A</v>
      </c>
      <c r="AK18">
        <v>8</v>
      </c>
      <c r="AL18">
        <v>3</v>
      </c>
      <c r="AM18">
        <v>3</v>
      </c>
      <c r="AN18">
        <v>3</v>
      </c>
      <c r="AO18">
        <f t="shared" si="0"/>
        <v>1</v>
      </c>
      <c r="AQ18">
        <v>4</v>
      </c>
      <c r="AR18">
        <v>1</v>
      </c>
      <c r="AS18">
        <v>8</v>
      </c>
      <c r="AT18">
        <v>1</v>
      </c>
      <c r="AU18">
        <v>0</v>
      </c>
      <c r="AV18">
        <v>0</v>
      </c>
      <c r="AW18">
        <v>7</v>
      </c>
      <c r="AX18">
        <v>1</v>
      </c>
      <c r="AY18">
        <f t="shared" si="1"/>
        <v>1</v>
      </c>
      <c r="AZ18">
        <f t="shared" si="2"/>
        <v>0</v>
      </c>
    </row>
    <row r="19" spans="3:52" ht="18" x14ac:dyDescent="0.3">
      <c r="C19">
        <v>5</v>
      </c>
      <c r="D19">
        <v>3</v>
      </c>
      <c r="E19">
        <v>2</v>
      </c>
      <c r="F19">
        <v>6</v>
      </c>
      <c r="G19">
        <v>10</v>
      </c>
      <c r="N19">
        <v>5</v>
      </c>
      <c r="O19" s="1" t="e">
        <f t="shared" si="4"/>
        <v>#N/A</v>
      </c>
      <c r="P19" s="1" t="e">
        <f t="shared" si="3"/>
        <v>#N/A</v>
      </c>
      <c r="Q19" s="1" t="e">
        <f t="shared" si="3"/>
        <v>#N/A</v>
      </c>
      <c r="R19" s="1" t="e">
        <f t="shared" si="3"/>
        <v>#N/A</v>
      </c>
      <c r="S19" s="1" t="e">
        <f t="shared" si="3"/>
        <v>#N/A</v>
      </c>
      <c r="T19" s="1">
        <f t="shared" si="3"/>
        <v>6</v>
      </c>
      <c r="U19" s="1" t="e">
        <f t="shared" si="3"/>
        <v>#N/A</v>
      </c>
      <c r="V19" s="1" t="e">
        <f t="shared" si="3"/>
        <v>#N/A</v>
      </c>
      <c r="W19" s="1" t="e">
        <f t="shared" si="3"/>
        <v>#N/A</v>
      </c>
      <c r="X19" s="1">
        <f t="shared" si="3"/>
        <v>10</v>
      </c>
      <c r="Y19" s="1" t="e">
        <f t="shared" si="3"/>
        <v>#N/A</v>
      </c>
      <c r="Z19" s="1" t="e">
        <f t="shared" si="3"/>
        <v>#N/A</v>
      </c>
      <c r="AA19" s="1" t="e">
        <f t="shared" si="3"/>
        <v>#N/A</v>
      </c>
      <c r="AB19" s="1" t="e">
        <f t="shared" si="3"/>
        <v>#N/A</v>
      </c>
      <c r="AC19" s="1" t="e">
        <f t="shared" si="3"/>
        <v>#N/A</v>
      </c>
      <c r="AD19" s="1" t="e">
        <f t="shared" si="3"/>
        <v>#N/A</v>
      </c>
      <c r="AE19" s="1" t="e">
        <f t="shared" si="3"/>
        <v>#N/A</v>
      </c>
      <c r="AF19" s="1" t="e">
        <f t="shared" si="3"/>
        <v>#N/A</v>
      </c>
      <c r="AK19">
        <v>9</v>
      </c>
      <c r="AL19">
        <v>1</v>
      </c>
      <c r="AM19">
        <v>2</v>
      </c>
      <c r="AN19">
        <v>3</v>
      </c>
      <c r="AO19">
        <f t="shared" si="0"/>
        <v>1</v>
      </c>
      <c r="AQ19">
        <v>4</v>
      </c>
      <c r="AR19">
        <v>2</v>
      </c>
      <c r="AS19">
        <v>9</v>
      </c>
      <c r="AT19">
        <v>1</v>
      </c>
      <c r="AU19">
        <v>0</v>
      </c>
      <c r="AV19">
        <v>4</v>
      </c>
      <c r="AW19">
        <v>0</v>
      </c>
      <c r="AX19">
        <v>3</v>
      </c>
      <c r="AY19">
        <f t="shared" si="1"/>
        <v>1</v>
      </c>
      <c r="AZ19">
        <f t="shared" si="2"/>
        <v>1</v>
      </c>
    </row>
    <row r="20" spans="3:52" ht="18" x14ac:dyDescent="0.3">
      <c r="C20">
        <v>6</v>
      </c>
      <c r="D20">
        <v>3</v>
      </c>
      <c r="E20">
        <v>2</v>
      </c>
      <c r="F20">
        <v>8</v>
      </c>
      <c r="G20">
        <v>16</v>
      </c>
      <c r="N20">
        <v>6</v>
      </c>
      <c r="O20" s="1" t="e">
        <f t="shared" si="4"/>
        <v>#N/A</v>
      </c>
      <c r="P20" s="1" t="e">
        <f t="shared" si="3"/>
        <v>#N/A</v>
      </c>
      <c r="Q20" s="1" t="e">
        <f t="shared" si="3"/>
        <v>#N/A</v>
      </c>
      <c r="R20" s="1" t="e">
        <f t="shared" si="3"/>
        <v>#N/A</v>
      </c>
      <c r="S20" s="1" t="e">
        <f t="shared" si="3"/>
        <v>#N/A</v>
      </c>
      <c r="T20" s="1" t="e">
        <f t="shared" si="3"/>
        <v>#N/A</v>
      </c>
      <c r="U20" s="1" t="e">
        <f t="shared" si="3"/>
        <v>#N/A</v>
      </c>
      <c r="V20" s="1">
        <f t="shared" si="3"/>
        <v>8</v>
      </c>
      <c r="W20" s="1" t="e">
        <f t="shared" si="3"/>
        <v>#N/A</v>
      </c>
      <c r="X20" s="1" t="e">
        <f t="shared" si="3"/>
        <v>#N/A</v>
      </c>
      <c r="Y20" s="1" t="e">
        <f t="shared" si="3"/>
        <v>#N/A</v>
      </c>
      <c r="Z20" s="1" t="e">
        <f t="shared" si="3"/>
        <v>#N/A</v>
      </c>
      <c r="AA20" s="1" t="e">
        <f t="shared" si="3"/>
        <v>#N/A</v>
      </c>
      <c r="AB20" s="1" t="e">
        <f t="shared" si="3"/>
        <v>#N/A</v>
      </c>
      <c r="AC20" s="1" t="e">
        <f t="shared" si="3"/>
        <v>#N/A</v>
      </c>
      <c r="AD20" s="1">
        <f t="shared" si="3"/>
        <v>16</v>
      </c>
      <c r="AE20" s="1" t="e">
        <f t="shared" si="3"/>
        <v>#N/A</v>
      </c>
      <c r="AF20" s="1" t="e">
        <f t="shared" si="3"/>
        <v>#N/A</v>
      </c>
      <c r="AK20">
        <v>10</v>
      </c>
      <c r="AL20">
        <v>3</v>
      </c>
      <c r="AM20">
        <v>2</v>
      </c>
      <c r="AN20">
        <v>1</v>
      </c>
      <c r="AO20">
        <f t="shared" si="0"/>
        <v>1</v>
      </c>
      <c r="AQ20">
        <v>4</v>
      </c>
      <c r="AR20">
        <v>3</v>
      </c>
      <c r="AS20">
        <v>10</v>
      </c>
      <c r="AT20">
        <v>0</v>
      </c>
      <c r="AU20">
        <v>3</v>
      </c>
      <c r="AV20">
        <v>0</v>
      </c>
      <c r="AW20">
        <v>4</v>
      </c>
      <c r="AX20">
        <v>1</v>
      </c>
      <c r="AY20">
        <f t="shared" si="1"/>
        <v>1</v>
      </c>
      <c r="AZ20">
        <f t="shared" si="2"/>
        <v>0</v>
      </c>
    </row>
    <row r="21" spans="3:52" ht="18" x14ac:dyDescent="0.3">
      <c r="C21">
        <v>7</v>
      </c>
      <c r="D21">
        <v>3</v>
      </c>
      <c r="E21">
        <v>1</v>
      </c>
      <c r="F21">
        <v>8</v>
      </c>
      <c r="N21">
        <v>7</v>
      </c>
      <c r="O21" s="1" t="e">
        <f t="shared" si="4"/>
        <v>#N/A</v>
      </c>
      <c r="P21" s="1" t="e">
        <f t="shared" si="3"/>
        <v>#N/A</v>
      </c>
      <c r="Q21" s="1" t="e">
        <f t="shared" si="3"/>
        <v>#N/A</v>
      </c>
      <c r="R21" s="1" t="e">
        <f t="shared" si="3"/>
        <v>#N/A</v>
      </c>
      <c r="S21" s="1" t="e">
        <f t="shared" si="3"/>
        <v>#N/A</v>
      </c>
      <c r="T21" s="1" t="e">
        <f t="shared" si="3"/>
        <v>#N/A</v>
      </c>
      <c r="U21" s="1" t="e">
        <f t="shared" si="3"/>
        <v>#N/A</v>
      </c>
      <c r="V21" s="1">
        <f t="shared" si="3"/>
        <v>8</v>
      </c>
      <c r="W21" s="1" t="e">
        <f t="shared" si="3"/>
        <v>#N/A</v>
      </c>
      <c r="X21" s="1" t="e">
        <f t="shared" si="3"/>
        <v>#N/A</v>
      </c>
      <c r="Y21" s="1" t="e">
        <f t="shared" si="3"/>
        <v>#N/A</v>
      </c>
      <c r="Z21" s="1" t="e">
        <f t="shared" si="3"/>
        <v>#N/A</v>
      </c>
      <c r="AA21" s="1" t="e">
        <f t="shared" si="3"/>
        <v>#N/A</v>
      </c>
      <c r="AB21" s="1" t="e">
        <f t="shared" si="3"/>
        <v>#N/A</v>
      </c>
      <c r="AC21" s="1" t="e">
        <f t="shared" si="3"/>
        <v>#N/A</v>
      </c>
      <c r="AD21" s="1" t="e">
        <f t="shared" si="3"/>
        <v>#N/A</v>
      </c>
      <c r="AE21" s="1" t="e">
        <f t="shared" si="3"/>
        <v>#N/A</v>
      </c>
      <c r="AF21" s="1" t="e">
        <f t="shared" si="3"/>
        <v>#N/A</v>
      </c>
      <c r="AK21">
        <v>11</v>
      </c>
      <c r="AL21">
        <v>2</v>
      </c>
      <c r="AM21">
        <v>3</v>
      </c>
      <c r="AN21">
        <v>1</v>
      </c>
      <c r="AO21">
        <f t="shared" si="0"/>
        <v>2</v>
      </c>
      <c r="AQ21">
        <v>5</v>
      </c>
      <c r="AR21">
        <v>1</v>
      </c>
      <c r="AS21">
        <v>1</v>
      </c>
      <c r="AT21">
        <v>9</v>
      </c>
      <c r="AU21">
        <v>0</v>
      </c>
      <c r="AV21">
        <v>0</v>
      </c>
      <c r="AW21">
        <v>2</v>
      </c>
      <c r="AX21">
        <v>2</v>
      </c>
      <c r="AY21">
        <f t="shared" si="1"/>
        <v>0</v>
      </c>
      <c r="AZ21">
        <f t="shared" si="2"/>
        <v>1</v>
      </c>
    </row>
    <row r="22" spans="3:52" ht="18" x14ac:dyDescent="0.3">
      <c r="C22">
        <v>8</v>
      </c>
      <c r="D22">
        <v>3</v>
      </c>
      <c r="E22">
        <v>1</v>
      </c>
      <c r="F22">
        <v>9</v>
      </c>
      <c r="N22">
        <v>8</v>
      </c>
      <c r="O22" s="1" t="e">
        <f t="shared" si="4"/>
        <v>#N/A</v>
      </c>
      <c r="P22" s="1" t="e">
        <f t="shared" si="3"/>
        <v>#N/A</v>
      </c>
      <c r="Q22" s="1" t="e">
        <f t="shared" si="3"/>
        <v>#N/A</v>
      </c>
      <c r="R22" s="1" t="e">
        <f t="shared" si="3"/>
        <v>#N/A</v>
      </c>
      <c r="S22" s="1" t="e">
        <f t="shared" si="3"/>
        <v>#N/A</v>
      </c>
      <c r="T22" s="1" t="e">
        <f t="shared" si="3"/>
        <v>#N/A</v>
      </c>
      <c r="U22" s="1" t="e">
        <f t="shared" si="3"/>
        <v>#N/A</v>
      </c>
      <c r="V22" s="1" t="e">
        <f t="shared" si="3"/>
        <v>#N/A</v>
      </c>
      <c r="W22" s="1">
        <f t="shared" si="3"/>
        <v>9</v>
      </c>
      <c r="X22" s="1" t="e">
        <f t="shared" si="3"/>
        <v>#N/A</v>
      </c>
      <c r="Y22" s="1" t="e">
        <f t="shared" si="3"/>
        <v>#N/A</v>
      </c>
      <c r="Z22" s="1" t="e">
        <f t="shared" si="3"/>
        <v>#N/A</v>
      </c>
      <c r="AA22" s="1" t="e">
        <f t="shared" si="3"/>
        <v>#N/A</v>
      </c>
      <c r="AB22" s="1" t="e">
        <f t="shared" si="3"/>
        <v>#N/A</v>
      </c>
      <c r="AC22" s="1" t="e">
        <f t="shared" si="3"/>
        <v>#N/A</v>
      </c>
      <c r="AD22" s="1" t="e">
        <f t="shared" si="3"/>
        <v>#N/A</v>
      </c>
      <c r="AE22" s="1" t="e">
        <f t="shared" si="3"/>
        <v>#N/A</v>
      </c>
      <c r="AF22" s="1" t="e">
        <f t="shared" si="3"/>
        <v>#N/A</v>
      </c>
      <c r="AK22">
        <v>12</v>
      </c>
      <c r="AL22">
        <v>3</v>
      </c>
      <c r="AM22">
        <v>1</v>
      </c>
      <c r="AN22">
        <v>1</v>
      </c>
      <c r="AO22">
        <f t="shared" si="0"/>
        <v>1</v>
      </c>
      <c r="AQ22">
        <v>5</v>
      </c>
      <c r="AR22">
        <v>2</v>
      </c>
      <c r="AS22">
        <v>8</v>
      </c>
      <c r="AT22">
        <v>6</v>
      </c>
      <c r="AU22">
        <v>0</v>
      </c>
      <c r="AV22">
        <v>0</v>
      </c>
      <c r="AW22">
        <v>2</v>
      </c>
      <c r="AX22">
        <v>1</v>
      </c>
      <c r="AY22">
        <f t="shared" si="1"/>
        <v>1</v>
      </c>
      <c r="AZ22">
        <f t="shared" si="2"/>
        <v>0</v>
      </c>
    </row>
    <row r="23" spans="3:52" ht="18" x14ac:dyDescent="0.3">
      <c r="C23">
        <v>9</v>
      </c>
      <c r="D23">
        <v>3</v>
      </c>
      <c r="E23">
        <v>1</v>
      </c>
      <c r="F23">
        <v>14</v>
      </c>
      <c r="N23">
        <v>9</v>
      </c>
      <c r="O23" s="1" t="e">
        <f t="shared" si="4"/>
        <v>#N/A</v>
      </c>
      <c r="P23" s="1" t="e">
        <f t="shared" si="3"/>
        <v>#N/A</v>
      </c>
      <c r="Q23" s="1" t="e">
        <f t="shared" si="3"/>
        <v>#N/A</v>
      </c>
      <c r="R23" s="1" t="e">
        <f t="shared" si="3"/>
        <v>#N/A</v>
      </c>
      <c r="S23" s="1" t="e">
        <f t="shared" si="3"/>
        <v>#N/A</v>
      </c>
      <c r="T23" s="1" t="e">
        <f t="shared" si="3"/>
        <v>#N/A</v>
      </c>
      <c r="U23" s="1" t="e">
        <f t="shared" si="3"/>
        <v>#N/A</v>
      </c>
      <c r="V23" s="1" t="e">
        <f t="shared" si="3"/>
        <v>#N/A</v>
      </c>
      <c r="W23" s="1" t="e">
        <f t="shared" si="3"/>
        <v>#N/A</v>
      </c>
      <c r="X23" s="1" t="e">
        <f t="shared" si="3"/>
        <v>#N/A</v>
      </c>
      <c r="Y23" s="1" t="e">
        <f t="shared" si="3"/>
        <v>#N/A</v>
      </c>
      <c r="Z23" s="1" t="e">
        <f t="shared" si="3"/>
        <v>#N/A</v>
      </c>
      <c r="AA23" s="1" t="e">
        <f t="shared" si="3"/>
        <v>#N/A</v>
      </c>
      <c r="AB23" s="1">
        <f t="shared" si="3"/>
        <v>14</v>
      </c>
      <c r="AC23" s="1" t="e">
        <f t="shared" si="3"/>
        <v>#N/A</v>
      </c>
      <c r="AD23" s="1" t="e">
        <f t="shared" si="3"/>
        <v>#N/A</v>
      </c>
      <c r="AE23" s="1" t="e">
        <f t="shared" si="3"/>
        <v>#N/A</v>
      </c>
      <c r="AF23" s="1" t="e">
        <f t="shared" si="3"/>
        <v>#N/A</v>
      </c>
      <c r="AK23">
        <v>13</v>
      </c>
      <c r="AL23">
        <v>1</v>
      </c>
      <c r="AM23">
        <v>3</v>
      </c>
      <c r="AN23">
        <v>2</v>
      </c>
      <c r="AO23">
        <f t="shared" si="0"/>
        <v>1</v>
      </c>
      <c r="AQ23">
        <v>5</v>
      </c>
      <c r="AR23">
        <v>3</v>
      </c>
      <c r="AS23">
        <v>9</v>
      </c>
      <c r="AT23">
        <v>4</v>
      </c>
      <c r="AU23">
        <v>0</v>
      </c>
      <c r="AV23">
        <v>0</v>
      </c>
      <c r="AW23">
        <v>1</v>
      </c>
      <c r="AX23">
        <v>3</v>
      </c>
      <c r="AY23">
        <f t="shared" si="1"/>
        <v>1</v>
      </c>
      <c r="AZ23">
        <f t="shared" si="2"/>
        <v>1</v>
      </c>
    </row>
    <row r="24" spans="3:52" ht="18" x14ac:dyDescent="0.3">
      <c r="C24">
        <v>10</v>
      </c>
      <c r="D24">
        <v>3</v>
      </c>
      <c r="E24">
        <v>3</v>
      </c>
      <c r="F24">
        <v>13</v>
      </c>
      <c r="G24">
        <v>15</v>
      </c>
      <c r="H24">
        <v>17</v>
      </c>
      <c r="N24">
        <v>10</v>
      </c>
      <c r="O24" s="1" t="e">
        <f t="shared" si="4"/>
        <v>#N/A</v>
      </c>
      <c r="P24" s="1" t="e">
        <f t="shared" si="3"/>
        <v>#N/A</v>
      </c>
      <c r="Q24" s="1" t="e">
        <f t="shared" si="3"/>
        <v>#N/A</v>
      </c>
      <c r="R24" s="1" t="e">
        <f t="shared" si="3"/>
        <v>#N/A</v>
      </c>
      <c r="S24" s="1" t="e">
        <f t="shared" si="3"/>
        <v>#N/A</v>
      </c>
      <c r="T24" s="1" t="e">
        <f t="shared" si="3"/>
        <v>#N/A</v>
      </c>
      <c r="U24" s="1" t="e">
        <f t="shared" si="3"/>
        <v>#N/A</v>
      </c>
      <c r="V24" s="1" t="e">
        <f t="shared" si="3"/>
        <v>#N/A</v>
      </c>
      <c r="W24" s="1" t="e">
        <f t="shared" si="3"/>
        <v>#N/A</v>
      </c>
      <c r="X24" s="1" t="e">
        <f t="shared" si="3"/>
        <v>#N/A</v>
      </c>
      <c r="Y24" s="1" t="e">
        <f t="shared" si="3"/>
        <v>#N/A</v>
      </c>
      <c r="Z24" s="1" t="e">
        <f t="shared" si="3"/>
        <v>#N/A</v>
      </c>
      <c r="AA24" s="1">
        <f t="shared" si="3"/>
        <v>13</v>
      </c>
      <c r="AB24" s="1" t="e">
        <f t="shared" si="3"/>
        <v>#N/A</v>
      </c>
      <c r="AC24" s="1">
        <f t="shared" si="3"/>
        <v>15</v>
      </c>
      <c r="AD24" s="1" t="e">
        <f t="shared" si="3"/>
        <v>#N/A</v>
      </c>
      <c r="AE24" s="1">
        <f t="shared" si="3"/>
        <v>17</v>
      </c>
      <c r="AF24" s="1" t="e">
        <f t="shared" si="3"/>
        <v>#N/A</v>
      </c>
      <c r="AK24">
        <v>14</v>
      </c>
      <c r="AL24">
        <v>1</v>
      </c>
      <c r="AM24">
        <v>3</v>
      </c>
      <c r="AN24">
        <v>2</v>
      </c>
      <c r="AO24">
        <f t="shared" si="0"/>
        <v>1</v>
      </c>
      <c r="AQ24">
        <v>6</v>
      </c>
      <c r="AR24">
        <v>1</v>
      </c>
      <c r="AS24">
        <v>5</v>
      </c>
      <c r="AT24">
        <v>4</v>
      </c>
      <c r="AU24">
        <v>0</v>
      </c>
      <c r="AV24">
        <v>5</v>
      </c>
      <c r="AW24">
        <v>0</v>
      </c>
      <c r="AX24">
        <v>3</v>
      </c>
      <c r="AY24">
        <f t="shared" si="1"/>
        <v>1</v>
      </c>
      <c r="AZ24">
        <f t="shared" si="2"/>
        <v>1</v>
      </c>
    </row>
    <row r="25" spans="3:52" ht="18" x14ac:dyDescent="0.3">
      <c r="C25">
        <v>11</v>
      </c>
      <c r="D25">
        <v>3</v>
      </c>
      <c r="E25">
        <v>1</v>
      </c>
      <c r="F25">
        <v>13</v>
      </c>
      <c r="N25">
        <v>11</v>
      </c>
      <c r="O25" s="1" t="e">
        <f t="shared" si="4"/>
        <v>#N/A</v>
      </c>
      <c r="P25" s="1" t="e">
        <f t="shared" si="3"/>
        <v>#N/A</v>
      </c>
      <c r="Q25" s="1" t="e">
        <f t="shared" si="3"/>
        <v>#N/A</v>
      </c>
      <c r="R25" s="1" t="e">
        <f t="shared" si="3"/>
        <v>#N/A</v>
      </c>
      <c r="S25" s="1" t="e">
        <f t="shared" si="3"/>
        <v>#N/A</v>
      </c>
      <c r="T25" s="1" t="e">
        <f t="shared" si="3"/>
        <v>#N/A</v>
      </c>
      <c r="U25" s="1" t="e">
        <f t="shared" si="3"/>
        <v>#N/A</v>
      </c>
      <c r="V25" s="1" t="e">
        <f t="shared" si="3"/>
        <v>#N/A</v>
      </c>
      <c r="W25" s="1" t="e">
        <f t="shared" si="3"/>
        <v>#N/A</v>
      </c>
      <c r="X25" s="1" t="e">
        <f t="shared" si="3"/>
        <v>#N/A</v>
      </c>
      <c r="Y25" s="1" t="e">
        <f t="shared" si="3"/>
        <v>#N/A</v>
      </c>
      <c r="Z25" s="1" t="e">
        <f t="shared" si="3"/>
        <v>#N/A</v>
      </c>
      <c r="AA25" s="1">
        <f t="shared" si="3"/>
        <v>13</v>
      </c>
      <c r="AB25" s="1" t="e">
        <f t="shared" si="3"/>
        <v>#N/A</v>
      </c>
      <c r="AC25" s="1" t="e">
        <f t="shared" si="3"/>
        <v>#N/A</v>
      </c>
      <c r="AD25" s="1" t="e">
        <f t="shared" si="3"/>
        <v>#N/A</v>
      </c>
      <c r="AE25" s="1" t="e">
        <f t="shared" si="3"/>
        <v>#N/A</v>
      </c>
      <c r="AF25" s="1" t="e">
        <f t="shared" si="3"/>
        <v>#N/A</v>
      </c>
      <c r="AK25">
        <v>15</v>
      </c>
      <c r="AL25">
        <v>1</v>
      </c>
      <c r="AM25">
        <v>2</v>
      </c>
      <c r="AN25">
        <v>3</v>
      </c>
      <c r="AO25">
        <f t="shared" si="0"/>
        <v>1</v>
      </c>
      <c r="AQ25">
        <v>6</v>
      </c>
      <c r="AR25">
        <v>2</v>
      </c>
      <c r="AS25">
        <v>6</v>
      </c>
      <c r="AT25">
        <v>3</v>
      </c>
      <c r="AU25">
        <v>0</v>
      </c>
      <c r="AV25">
        <v>5</v>
      </c>
      <c r="AW25">
        <v>0</v>
      </c>
      <c r="AX25">
        <v>1</v>
      </c>
      <c r="AY25">
        <f t="shared" si="1"/>
        <v>1</v>
      </c>
      <c r="AZ25">
        <f t="shared" si="2"/>
        <v>0</v>
      </c>
    </row>
    <row r="26" spans="3:52" ht="18" x14ac:dyDescent="0.3">
      <c r="C26">
        <v>12</v>
      </c>
      <c r="D26">
        <v>3</v>
      </c>
      <c r="E26">
        <v>1</v>
      </c>
      <c r="F26">
        <v>17</v>
      </c>
      <c r="N26">
        <v>12</v>
      </c>
      <c r="O26" s="1" t="e">
        <f t="shared" si="4"/>
        <v>#N/A</v>
      </c>
      <c r="P26" s="1" t="e">
        <f t="shared" si="3"/>
        <v>#N/A</v>
      </c>
      <c r="Q26" s="1" t="e">
        <f t="shared" si="3"/>
        <v>#N/A</v>
      </c>
      <c r="R26" s="1" t="e">
        <f t="shared" si="3"/>
        <v>#N/A</v>
      </c>
      <c r="S26" s="1" t="e">
        <f t="shared" si="3"/>
        <v>#N/A</v>
      </c>
      <c r="T26" s="1" t="e">
        <f t="shared" si="3"/>
        <v>#N/A</v>
      </c>
      <c r="U26" s="1" t="e">
        <f t="shared" si="3"/>
        <v>#N/A</v>
      </c>
      <c r="V26" s="1" t="e">
        <f t="shared" si="3"/>
        <v>#N/A</v>
      </c>
      <c r="W26" s="1" t="e">
        <f t="shared" si="3"/>
        <v>#N/A</v>
      </c>
      <c r="X26" s="1" t="e">
        <f t="shared" si="3"/>
        <v>#N/A</v>
      </c>
      <c r="Y26" s="1" t="e">
        <f t="shared" si="3"/>
        <v>#N/A</v>
      </c>
      <c r="Z26" s="1" t="e">
        <f t="shared" si="3"/>
        <v>#N/A</v>
      </c>
      <c r="AA26" s="1" t="e">
        <f t="shared" si="3"/>
        <v>#N/A</v>
      </c>
      <c r="AB26" s="1" t="e">
        <f t="shared" si="3"/>
        <v>#N/A</v>
      </c>
      <c r="AC26" s="1" t="e">
        <f t="shared" si="3"/>
        <v>#N/A</v>
      </c>
      <c r="AD26" s="1" t="e">
        <f t="shared" si="3"/>
        <v>#N/A</v>
      </c>
      <c r="AE26" s="1">
        <f t="shared" si="3"/>
        <v>17</v>
      </c>
      <c r="AF26" s="1" t="e">
        <f t="shared" si="3"/>
        <v>#N/A</v>
      </c>
      <c r="AK26">
        <v>16</v>
      </c>
      <c r="AL26">
        <v>2</v>
      </c>
      <c r="AM26">
        <v>3</v>
      </c>
      <c r="AN26">
        <v>1</v>
      </c>
      <c r="AO26">
        <f t="shared" si="0"/>
        <v>0</v>
      </c>
      <c r="AQ26">
        <v>6</v>
      </c>
      <c r="AR26">
        <v>3</v>
      </c>
      <c r="AS26">
        <v>7</v>
      </c>
      <c r="AT26">
        <v>3</v>
      </c>
      <c r="AU26">
        <v>0</v>
      </c>
      <c r="AV26">
        <v>0</v>
      </c>
      <c r="AW26">
        <v>5</v>
      </c>
      <c r="AX26">
        <v>1</v>
      </c>
      <c r="AY26">
        <f t="shared" si="1"/>
        <v>1</v>
      </c>
      <c r="AZ26">
        <f t="shared" si="2"/>
        <v>0</v>
      </c>
    </row>
    <row r="27" spans="3:52" ht="18" x14ac:dyDescent="0.3">
      <c r="C27">
        <v>13</v>
      </c>
      <c r="D27">
        <v>3</v>
      </c>
      <c r="E27">
        <v>1</v>
      </c>
      <c r="F27">
        <v>16</v>
      </c>
      <c r="N27">
        <v>13</v>
      </c>
      <c r="O27" s="1" t="e">
        <f t="shared" si="4"/>
        <v>#N/A</v>
      </c>
      <c r="P27" s="1" t="e">
        <f t="shared" si="3"/>
        <v>#N/A</v>
      </c>
      <c r="Q27" s="1" t="e">
        <f t="shared" si="3"/>
        <v>#N/A</v>
      </c>
      <c r="R27" s="1" t="e">
        <f t="shared" si="3"/>
        <v>#N/A</v>
      </c>
      <c r="S27" s="1" t="e">
        <f t="shared" si="3"/>
        <v>#N/A</v>
      </c>
      <c r="T27" s="1" t="e">
        <f t="shared" si="3"/>
        <v>#N/A</v>
      </c>
      <c r="U27" s="1" t="e">
        <f t="shared" si="3"/>
        <v>#N/A</v>
      </c>
      <c r="V27" s="1" t="e">
        <f t="shared" si="3"/>
        <v>#N/A</v>
      </c>
      <c r="W27" s="1" t="e">
        <f t="shared" si="3"/>
        <v>#N/A</v>
      </c>
      <c r="X27" s="1" t="e">
        <f t="shared" si="3"/>
        <v>#N/A</v>
      </c>
      <c r="Y27" s="1" t="e">
        <f t="shared" si="3"/>
        <v>#N/A</v>
      </c>
      <c r="Z27" s="1" t="e">
        <f t="shared" si="3"/>
        <v>#N/A</v>
      </c>
      <c r="AA27" s="1" t="e">
        <f t="shared" si="3"/>
        <v>#N/A</v>
      </c>
      <c r="AB27" s="1" t="e">
        <f t="shared" si="3"/>
        <v>#N/A</v>
      </c>
      <c r="AC27" s="1" t="e">
        <f t="shared" si="3"/>
        <v>#N/A</v>
      </c>
      <c r="AD27" s="1">
        <f t="shared" si="3"/>
        <v>16</v>
      </c>
      <c r="AE27" s="1" t="e">
        <f t="shared" si="3"/>
        <v>#N/A</v>
      </c>
      <c r="AF27" s="1" t="e">
        <f t="shared" si="3"/>
        <v>#N/A</v>
      </c>
      <c r="AK27">
        <v>17</v>
      </c>
      <c r="AL27">
        <v>3</v>
      </c>
      <c r="AM27">
        <v>3</v>
      </c>
      <c r="AN27">
        <v>3</v>
      </c>
      <c r="AO27">
        <f t="shared" si="0"/>
        <v>0</v>
      </c>
      <c r="AQ27">
        <v>7</v>
      </c>
      <c r="AR27">
        <v>1</v>
      </c>
      <c r="AS27">
        <v>4</v>
      </c>
      <c r="AT27">
        <v>10</v>
      </c>
      <c r="AU27">
        <v>0</v>
      </c>
      <c r="AV27">
        <v>0</v>
      </c>
      <c r="AW27">
        <v>6</v>
      </c>
      <c r="AX27">
        <v>3</v>
      </c>
      <c r="AY27">
        <f t="shared" si="1"/>
        <v>1</v>
      </c>
      <c r="AZ27">
        <f t="shared" si="2"/>
        <v>1</v>
      </c>
    </row>
    <row r="28" spans="3:52" ht="18" x14ac:dyDescent="0.3">
      <c r="C28">
        <v>14</v>
      </c>
      <c r="D28">
        <v>3</v>
      </c>
      <c r="E28">
        <v>2</v>
      </c>
      <c r="F28">
        <v>15</v>
      </c>
      <c r="G28">
        <v>17</v>
      </c>
      <c r="N28">
        <v>14</v>
      </c>
      <c r="O28" s="1" t="e">
        <f t="shared" si="4"/>
        <v>#N/A</v>
      </c>
      <c r="P28" s="1" t="e">
        <f t="shared" si="3"/>
        <v>#N/A</v>
      </c>
      <c r="Q28" s="1" t="e">
        <f t="shared" si="3"/>
        <v>#N/A</v>
      </c>
      <c r="R28" s="1" t="e">
        <f t="shared" si="3"/>
        <v>#N/A</v>
      </c>
      <c r="S28" s="1" t="e">
        <f t="shared" si="3"/>
        <v>#N/A</v>
      </c>
      <c r="T28" s="1" t="e">
        <f t="shared" si="3"/>
        <v>#N/A</v>
      </c>
      <c r="U28" s="1" t="e">
        <f t="shared" si="3"/>
        <v>#N/A</v>
      </c>
      <c r="V28" s="1" t="e">
        <f t="shared" si="3"/>
        <v>#N/A</v>
      </c>
      <c r="W28" s="1" t="e">
        <f t="shared" si="3"/>
        <v>#N/A</v>
      </c>
      <c r="X28" s="1" t="e">
        <f t="shared" si="3"/>
        <v>#N/A</v>
      </c>
      <c r="Y28" s="1" t="e">
        <f t="shared" si="3"/>
        <v>#N/A</v>
      </c>
      <c r="Z28" s="1" t="e">
        <f t="shared" si="3"/>
        <v>#N/A</v>
      </c>
      <c r="AA28" s="1" t="e">
        <f t="shared" si="3"/>
        <v>#N/A</v>
      </c>
      <c r="AB28" s="1" t="e">
        <f t="shared" si="3"/>
        <v>#N/A</v>
      </c>
      <c r="AC28" s="1">
        <f t="shared" si="3"/>
        <v>15</v>
      </c>
      <c r="AD28" s="1" t="e">
        <f t="shared" si="3"/>
        <v>#N/A</v>
      </c>
      <c r="AE28" s="1">
        <f t="shared" si="3"/>
        <v>17</v>
      </c>
      <c r="AF28" s="1" t="e">
        <f t="shared" si="3"/>
        <v>#N/A</v>
      </c>
      <c r="AK28">
        <v>18</v>
      </c>
      <c r="AL28">
        <v>3</v>
      </c>
      <c r="AM28">
        <v>3</v>
      </c>
      <c r="AN28">
        <v>2</v>
      </c>
      <c r="AO28">
        <f t="shared" si="0"/>
        <v>1</v>
      </c>
      <c r="AQ28">
        <v>7</v>
      </c>
      <c r="AR28">
        <v>2</v>
      </c>
      <c r="AS28">
        <v>7</v>
      </c>
      <c r="AT28">
        <v>7</v>
      </c>
      <c r="AU28">
        <v>0</v>
      </c>
      <c r="AV28">
        <v>0</v>
      </c>
      <c r="AW28">
        <v>6</v>
      </c>
      <c r="AX28">
        <v>3</v>
      </c>
      <c r="AY28">
        <f t="shared" si="1"/>
        <v>1</v>
      </c>
      <c r="AZ28">
        <f t="shared" si="2"/>
        <v>1</v>
      </c>
    </row>
    <row r="29" spans="3:52" ht="18" x14ac:dyDescent="0.3">
      <c r="C29">
        <v>15</v>
      </c>
      <c r="D29">
        <v>3</v>
      </c>
      <c r="E29">
        <v>1</v>
      </c>
      <c r="F29">
        <v>18</v>
      </c>
      <c r="N29">
        <v>15</v>
      </c>
      <c r="O29" s="1" t="e">
        <f t="shared" si="4"/>
        <v>#N/A</v>
      </c>
      <c r="P29" s="1" t="e">
        <f t="shared" si="3"/>
        <v>#N/A</v>
      </c>
      <c r="Q29" s="1" t="e">
        <f t="shared" si="3"/>
        <v>#N/A</v>
      </c>
      <c r="R29" s="1" t="e">
        <f t="shared" si="3"/>
        <v>#N/A</v>
      </c>
      <c r="S29" s="1" t="e">
        <f t="shared" si="3"/>
        <v>#N/A</v>
      </c>
      <c r="T29" s="1" t="e">
        <f t="shared" si="3"/>
        <v>#N/A</v>
      </c>
      <c r="U29" s="1" t="e">
        <f t="shared" si="3"/>
        <v>#N/A</v>
      </c>
      <c r="V29" s="1" t="e">
        <f t="shared" si="3"/>
        <v>#N/A</v>
      </c>
      <c r="W29" s="1" t="e">
        <f t="shared" si="3"/>
        <v>#N/A</v>
      </c>
      <c r="X29" s="1" t="e">
        <f t="shared" si="3"/>
        <v>#N/A</v>
      </c>
      <c r="Y29" s="1" t="e">
        <f t="shared" si="3"/>
        <v>#N/A</v>
      </c>
      <c r="Z29" s="1" t="e">
        <f t="shared" si="3"/>
        <v>#N/A</v>
      </c>
      <c r="AA29" s="1" t="e">
        <f t="shared" si="3"/>
        <v>#N/A</v>
      </c>
      <c r="AB29" s="1" t="e">
        <f t="shared" si="3"/>
        <v>#N/A</v>
      </c>
      <c r="AC29" s="1" t="e">
        <f t="shared" si="3"/>
        <v>#N/A</v>
      </c>
      <c r="AD29" s="1" t="e">
        <f t="shared" si="3"/>
        <v>#N/A</v>
      </c>
      <c r="AE29" s="1" t="e">
        <f t="shared" si="3"/>
        <v>#N/A</v>
      </c>
      <c r="AF29" s="1">
        <f t="shared" si="3"/>
        <v>18</v>
      </c>
      <c r="AL29">
        <v>2</v>
      </c>
      <c r="AM29">
        <v>3</v>
      </c>
      <c r="AN29">
        <v>1</v>
      </c>
      <c r="AQ29">
        <v>7</v>
      </c>
      <c r="AR29">
        <v>3</v>
      </c>
      <c r="AS29">
        <v>10</v>
      </c>
      <c r="AT29">
        <v>3</v>
      </c>
      <c r="AU29">
        <v>0</v>
      </c>
      <c r="AV29">
        <v>10</v>
      </c>
      <c r="AW29">
        <v>0</v>
      </c>
      <c r="AX29">
        <v>3</v>
      </c>
      <c r="AY29">
        <f t="shared" si="1"/>
        <v>1</v>
      </c>
      <c r="AZ29">
        <f t="shared" si="2"/>
        <v>1</v>
      </c>
    </row>
    <row r="30" spans="3:52" ht="18" x14ac:dyDescent="0.3">
      <c r="C30">
        <v>16</v>
      </c>
      <c r="D30">
        <v>3</v>
      </c>
      <c r="E30">
        <v>1</v>
      </c>
      <c r="F30">
        <v>18</v>
      </c>
      <c r="N30">
        <v>16</v>
      </c>
      <c r="O30" s="1" t="e">
        <f t="shared" si="4"/>
        <v>#N/A</v>
      </c>
      <c r="P30" s="1" t="e">
        <f t="shared" si="3"/>
        <v>#N/A</v>
      </c>
      <c r="Q30" s="1" t="e">
        <f t="shared" si="3"/>
        <v>#N/A</v>
      </c>
      <c r="R30" s="1" t="e">
        <f t="shared" si="3"/>
        <v>#N/A</v>
      </c>
      <c r="S30" s="1" t="e">
        <f t="shared" si="3"/>
        <v>#N/A</v>
      </c>
      <c r="T30" s="1" t="e">
        <f t="shared" si="3"/>
        <v>#N/A</v>
      </c>
      <c r="U30" s="1" t="e">
        <f t="shared" si="3"/>
        <v>#N/A</v>
      </c>
      <c r="V30" s="1" t="e">
        <f t="shared" si="3"/>
        <v>#N/A</v>
      </c>
      <c r="W30" s="1" t="e">
        <f t="shared" si="3"/>
        <v>#N/A</v>
      </c>
      <c r="X30" s="1" t="e">
        <f t="shared" si="3"/>
        <v>#N/A</v>
      </c>
      <c r="Y30" s="1" t="e">
        <f t="shared" si="3"/>
        <v>#N/A</v>
      </c>
      <c r="Z30" s="1" t="e">
        <f t="shared" si="3"/>
        <v>#N/A</v>
      </c>
      <c r="AA30" s="1" t="e">
        <f t="shared" si="3"/>
        <v>#N/A</v>
      </c>
      <c r="AB30" s="1" t="e">
        <f t="shared" si="3"/>
        <v>#N/A</v>
      </c>
      <c r="AC30" s="1" t="e">
        <f t="shared" si="3"/>
        <v>#N/A</v>
      </c>
      <c r="AD30" s="1" t="e">
        <f t="shared" si="3"/>
        <v>#N/A</v>
      </c>
      <c r="AE30" s="1" t="e">
        <f t="shared" ref="P30:AF32" si="5">HLOOKUP(AE$14,$F30:$H30,1,FALSE)</f>
        <v>#N/A</v>
      </c>
      <c r="AF30" s="1">
        <f t="shared" si="5"/>
        <v>18</v>
      </c>
      <c r="AL30" t="s">
        <v>63</v>
      </c>
      <c r="AQ30">
        <v>8</v>
      </c>
      <c r="AR30">
        <v>1</v>
      </c>
      <c r="AS30">
        <v>1</v>
      </c>
      <c r="AT30">
        <v>0</v>
      </c>
      <c r="AU30">
        <v>7</v>
      </c>
      <c r="AV30">
        <v>2</v>
      </c>
      <c r="AW30">
        <v>0</v>
      </c>
      <c r="AX30">
        <v>1</v>
      </c>
      <c r="AY30">
        <f t="shared" si="1"/>
        <v>1</v>
      </c>
      <c r="AZ30">
        <f t="shared" si="2"/>
        <v>0</v>
      </c>
    </row>
    <row r="31" spans="3:52" ht="18" x14ac:dyDescent="0.3">
      <c r="C31">
        <v>17</v>
      </c>
      <c r="D31">
        <v>3</v>
      </c>
      <c r="E31">
        <v>1</v>
      </c>
      <c r="F31">
        <v>18</v>
      </c>
      <c r="N31">
        <v>17</v>
      </c>
      <c r="O31" s="1" t="e">
        <f t="shared" si="4"/>
        <v>#N/A</v>
      </c>
      <c r="P31" s="1" t="e">
        <f t="shared" si="5"/>
        <v>#N/A</v>
      </c>
      <c r="Q31" s="1" t="e">
        <f t="shared" si="5"/>
        <v>#N/A</v>
      </c>
      <c r="R31" s="1" t="e">
        <f t="shared" si="5"/>
        <v>#N/A</v>
      </c>
      <c r="S31" s="1" t="e">
        <f t="shared" si="5"/>
        <v>#N/A</v>
      </c>
      <c r="T31" s="1" t="e">
        <f t="shared" si="5"/>
        <v>#N/A</v>
      </c>
      <c r="U31" s="1" t="e">
        <f t="shared" si="5"/>
        <v>#N/A</v>
      </c>
      <c r="V31" s="1" t="e">
        <f t="shared" si="5"/>
        <v>#N/A</v>
      </c>
      <c r="W31" s="1" t="e">
        <f t="shared" si="5"/>
        <v>#N/A</v>
      </c>
      <c r="X31" s="1" t="e">
        <f t="shared" si="5"/>
        <v>#N/A</v>
      </c>
      <c r="Y31" s="1" t="e">
        <f t="shared" si="5"/>
        <v>#N/A</v>
      </c>
      <c r="Z31" s="1" t="e">
        <f t="shared" si="5"/>
        <v>#N/A</v>
      </c>
      <c r="AA31" s="1" t="e">
        <f t="shared" si="5"/>
        <v>#N/A</v>
      </c>
      <c r="AB31" s="1" t="e">
        <f t="shared" si="5"/>
        <v>#N/A</v>
      </c>
      <c r="AC31" s="1" t="e">
        <f t="shared" si="5"/>
        <v>#N/A</v>
      </c>
      <c r="AD31" s="1" t="e">
        <f t="shared" si="5"/>
        <v>#N/A</v>
      </c>
      <c r="AE31" s="1" t="e">
        <f t="shared" si="5"/>
        <v>#N/A</v>
      </c>
      <c r="AF31" s="1">
        <f t="shared" si="5"/>
        <v>18</v>
      </c>
      <c r="AL31">
        <v>1</v>
      </c>
      <c r="AM31" t="s">
        <v>64</v>
      </c>
      <c r="AQ31">
        <v>8</v>
      </c>
      <c r="AR31">
        <v>2</v>
      </c>
      <c r="AS31">
        <v>4</v>
      </c>
      <c r="AT31">
        <v>0</v>
      </c>
      <c r="AU31">
        <v>6</v>
      </c>
      <c r="AV31">
        <v>1</v>
      </c>
      <c r="AW31">
        <v>0</v>
      </c>
      <c r="AX31">
        <v>2</v>
      </c>
      <c r="AY31">
        <f t="shared" si="1"/>
        <v>0</v>
      </c>
      <c r="AZ31">
        <f t="shared" si="2"/>
        <v>1</v>
      </c>
    </row>
    <row r="32" spans="3:52" ht="18" x14ac:dyDescent="0.3">
      <c r="C32">
        <v>18</v>
      </c>
      <c r="D32">
        <v>1</v>
      </c>
      <c r="E32">
        <v>0</v>
      </c>
      <c r="N32">
        <v>18</v>
      </c>
      <c r="O32" s="1" t="e">
        <f t="shared" si="4"/>
        <v>#N/A</v>
      </c>
      <c r="P32" s="1" t="e">
        <f t="shared" si="5"/>
        <v>#N/A</v>
      </c>
      <c r="Q32" s="1" t="e">
        <f t="shared" si="5"/>
        <v>#N/A</v>
      </c>
      <c r="R32" s="1" t="e">
        <f t="shared" si="5"/>
        <v>#N/A</v>
      </c>
      <c r="S32" s="1" t="e">
        <f t="shared" si="5"/>
        <v>#N/A</v>
      </c>
      <c r="T32" s="1" t="e">
        <f t="shared" si="5"/>
        <v>#N/A</v>
      </c>
      <c r="U32" s="1" t="e">
        <f t="shared" si="5"/>
        <v>#N/A</v>
      </c>
      <c r="V32" s="1" t="e">
        <f t="shared" si="5"/>
        <v>#N/A</v>
      </c>
      <c r="W32" s="1" t="e">
        <f t="shared" si="5"/>
        <v>#N/A</v>
      </c>
      <c r="X32" s="1" t="e">
        <f t="shared" si="5"/>
        <v>#N/A</v>
      </c>
      <c r="Y32" s="1" t="e">
        <f t="shared" si="5"/>
        <v>#N/A</v>
      </c>
      <c r="Z32" s="1" t="e">
        <f t="shared" si="5"/>
        <v>#N/A</v>
      </c>
      <c r="AA32" s="1" t="e">
        <f t="shared" si="5"/>
        <v>#N/A</v>
      </c>
      <c r="AB32" s="1" t="e">
        <f t="shared" si="5"/>
        <v>#N/A</v>
      </c>
      <c r="AC32" s="1" t="e">
        <f t="shared" si="5"/>
        <v>#N/A</v>
      </c>
      <c r="AD32" s="1" t="e">
        <f t="shared" si="5"/>
        <v>#N/A</v>
      </c>
      <c r="AE32" s="1" t="e">
        <f t="shared" si="5"/>
        <v>#N/A</v>
      </c>
      <c r="AF32" s="1" t="e">
        <f t="shared" si="5"/>
        <v>#N/A</v>
      </c>
      <c r="AL32">
        <v>2</v>
      </c>
      <c r="AM32" t="s">
        <v>65</v>
      </c>
      <c r="AQ32">
        <v>8</v>
      </c>
      <c r="AR32">
        <v>3</v>
      </c>
      <c r="AS32">
        <v>7</v>
      </c>
      <c r="AT32">
        <v>0</v>
      </c>
      <c r="AU32">
        <v>3</v>
      </c>
      <c r="AV32">
        <v>0</v>
      </c>
      <c r="AW32">
        <v>1</v>
      </c>
      <c r="AX32">
        <v>3</v>
      </c>
      <c r="AY32">
        <f t="shared" si="1"/>
        <v>1</v>
      </c>
      <c r="AZ32">
        <f t="shared" si="2"/>
        <v>1</v>
      </c>
    </row>
    <row r="33" spans="3:52" x14ac:dyDescent="0.3">
      <c r="AL33">
        <v>3</v>
      </c>
      <c r="AM33" t="s">
        <v>66</v>
      </c>
      <c r="AQ33">
        <v>9</v>
      </c>
      <c r="AR33">
        <v>1</v>
      </c>
      <c r="AS33">
        <v>4</v>
      </c>
      <c r="AT33">
        <v>0</v>
      </c>
      <c r="AU33">
        <v>4</v>
      </c>
      <c r="AV33">
        <v>0</v>
      </c>
      <c r="AW33">
        <v>7</v>
      </c>
      <c r="AX33">
        <v>3</v>
      </c>
      <c r="AY33">
        <f t="shared" si="1"/>
        <v>1</v>
      </c>
      <c r="AZ33">
        <f t="shared" si="2"/>
        <v>1</v>
      </c>
    </row>
    <row r="34" spans="3:52" x14ac:dyDescent="0.3">
      <c r="D34" t="s">
        <v>6</v>
      </c>
      <c r="E34" t="s">
        <v>7</v>
      </c>
      <c r="F34" t="s">
        <v>58</v>
      </c>
      <c r="G34" t="s">
        <v>59</v>
      </c>
      <c r="H34" t="s">
        <v>60</v>
      </c>
      <c r="I34" t="s">
        <v>61</v>
      </c>
      <c r="AQ34">
        <v>9</v>
      </c>
      <c r="AR34">
        <v>2</v>
      </c>
      <c r="AS34">
        <v>4</v>
      </c>
      <c r="AT34">
        <v>6</v>
      </c>
      <c r="AU34">
        <v>0</v>
      </c>
      <c r="AV34">
        <v>10</v>
      </c>
      <c r="AW34">
        <v>0</v>
      </c>
      <c r="AX34">
        <v>2</v>
      </c>
      <c r="AY34">
        <f t="shared" si="1"/>
        <v>0</v>
      </c>
      <c r="AZ34">
        <f t="shared" si="2"/>
        <v>1</v>
      </c>
    </row>
    <row r="35" spans="3:52" x14ac:dyDescent="0.3"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AQ35">
        <v>9</v>
      </c>
      <c r="AR35">
        <v>3</v>
      </c>
      <c r="AS35">
        <v>7</v>
      </c>
      <c r="AT35">
        <v>6</v>
      </c>
      <c r="AU35">
        <v>0</v>
      </c>
      <c r="AV35">
        <v>0</v>
      </c>
      <c r="AW35">
        <v>7</v>
      </c>
      <c r="AX35">
        <v>1</v>
      </c>
      <c r="AY35">
        <f t="shared" si="1"/>
        <v>1</v>
      </c>
      <c r="AZ35">
        <f t="shared" si="2"/>
        <v>0</v>
      </c>
    </row>
    <row r="36" spans="3:52" x14ac:dyDescent="0.3">
      <c r="C36">
        <v>2</v>
      </c>
      <c r="D36">
        <v>1</v>
      </c>
      <c r="E36">
        <v>7</v>
      </c>
      <c r="F36">
        <v>10</v>
      </c>
      <c r="G36">
        <v>0</v>
      </c>
      <c r="H36">
        <v>10</v>
      </c>
      <c r="I36">
        <v>0</v>
      </c>
      <c r="AQ36">
        <v>10</v>
      </c>
      <c r="AR36">
        <v>1</v>
      </c>
      <c r="AS36">
        <v>1</v>
      </c>
      <c r="AT36">
        <v>0</v>
      </c>
      <c r="AU36">
        <v>8</v>
      </c>
      <c r="AV36">
        <v>8</v>
      </c>
      <c r="AW36">
        <v>0</v>
      </c>
      <c r="AX36">
        <v>2</v>
      </c>
      <c r="AY36">
        <f t="shared" si="1"/>
        <v>0</v>
      </c>
      <c r="AZ36">
        <f t="shared" si="2"/>
        <v>1</v>
      </c>
    </row>
    <row r="37" spans="3:52" x14ac:dyDescent="0.3">
      <c r="C37">
        <v>2</v>
      </c>
      <c r="D37">
        <v>2</v>
      </c>
      <c r="E37">
        <v>8</v>
      </c>
      <c r="F37">
        <v>6</v>
      </c>
      <c r="G37">
        <v>0</v>
      </c>
      <c r="H37">
        <v>9</v>
      </c>
      <c r="I37">
        <v>0</v>
      </c>
      <c r="AQ37">
        <v>10</v>
      </c>
      <c r="AR37">
        <v>2</v>
      </c>
      <c r="AS37">
        <v>2</v>
      </c>
      <c r="AT37">
        <v>3</v>
      </c>
      <c r="AU37">
        <v>0</v>
      </c>
      <c r="AV37">
        <v>0</v>
      </c>
      <c r="AW37">
        <v>10</v>
      </c>
      <c r="AX37">
        <v>3</v>
      </c>
      <c r="AY37">
        <f t="shared" si="1"/>
        <v>1</v>
      </c>
      <c r="AZ37">
        <f t="shared" si="2"/>
        <v>1</v>
      </c>
    </row>
    <row r="38" spans="3:52" x14ac:dyDescent="0.3">
      <c r="C38">
        <v>2</v>
      </c>
      <c r="D38">
        <v>3</v>
      </c>
      <c r="E38">
        <v>8</v>
      </c>
      <c r="F38">
        <v>3</v>
      </c>
      <c r="G38">
        <v>0</v>
      </c>
      <c r="H38">
        <v>0</v>
      </c>
      <c r="I38">
        <v>5</v>
      </c>
      <c r="AQ38">
        <v>10</v>
      </c>
      <c r="AR38">
        <v>3</v>
      </c>
      <c r="AS38">
        <v>3</v>
      </c>
      <c r="AT38">
        <v>3</v>
      </c>
      <c r="AU38">
        <v>0</v>
      </c>
      <c r="AV38">
        <v>5</v>
      </c>
      <c r="AW38">
        <v>0</v>
      </c>
      <c r="AX38">
        <v>1</v>
      </c>
      <c r="AY38">
        <f t="shared" si="1"/>
        <v>1</v>
      </c>
      <c r="AZ38">
        <f t="shared" si="2"/>
        <v>0</v>
      </c>
    </row>
    <row r="39" spans="3:52" x14ac:dyDescent="0.3">
      <c r="C39">
        <v>3</v>
      </c>
      <c r="D39">
        <v>1</v>
      </c>
      <c r="E39">
        <v>1</v>
      </c>
      <c r="F39">
        <v>0</v>
      </c>
      <c r="G39">
        <v>4</v>
      </c>
      <c r="H39">
        <v>0</v>
      </c>
      <c r="I39">
        <v>5</v>
      </c>
      <c r="AQ39">
        <v>11</v>
      </c>
      <c r="AR39">
        <v>1</v>
      </c>
      <c r="AS39">
        <v>2</v>
      </c>
      <c r="AT39">
        <v>9</v>
      </c>
      <c r="AU39">
        <v>0</v>
      </c>
      <c r="AV39">
        <v>0</v>
      </c>
      <c r="AW39">
        <v>1</v>
      </c>
      <c r="AX39">
        <v>3</v>
      </c>
      <c r="AY39">
        <f t="shared" si="1"/>
        <v>1</v>
      </c>
      <c r="AZ39">
        <f t="shared" si="2"/>
        <v>1</v>
      </c>
    </row>
    <row r="40" spans="3:52" x14ac:dyDescent="0.3">
      <c r="C40">
        <v>3</v>
      </c>
      <c r="D40">
        <v>2</v>
      </c>
      <c r="E40">
        <v>2</v>
      </c>
      <c r="F40">
        <v>4</v>
      </c>
      <c r="G40">
        <v>0</v>
      </c>
      <c r="H40">
        <v>0</v>
      </c>
      <c r="I40">
        <v>4</v>
      </c>
      <c r="AQ40">
        <v>11</v>
      </c>
      <c r="AR40">
        <v>2</v>
      </c>
      <c r="AS40">
        <v>4</v>
      </c>
      <c r="AT40">
        <v>0</v>
      </c>
      <c r="AU40">
        <v>4</v>
      </c>
      <c r="AV40">
        <v>3</v>
      </c>
      <c r="AW40">
        <v>0</v>
      </c>
      <c r="AX40">
        <v>1</v>
      </c>
      <c r="AY40">
        <f t="shared" si="1"/>
        <v>1</v>
      </c>
      <c r="AZ40">
        <f t="shared" si="2"/>
        <v>0</v>
      </c>
    </row>
    <row r="41" spans="3:52" x14ac:dyDescent="0.3">
      <c r="C41">
        <v>3</v>
      </c>
      <c r="D41">
        <v>3</v>
      </c>
      <c r="E41">
        <v>3</v>
      </c>
      <c r="F41">
        <v>0</v>
      </c>
      <c r="G41">
        <v>3</v>
      </c>
      <c r="H41">
        <v>0</v>
      </c>
      <c r="I41">
        <v>1</v>
      </c>
      <c r="AQ41">
        <v>11</v>
      </c>
      <c r="AR41">
        <v>3</v>
      </c>
      <c r="AS41">
        <v>6</v>
      </c>
      <c r="AT41">
        <v>0</v>
      </c>
      <c r="AU41">
        <v>4</v>
      </c>
      <c r="AV41">
        <v>1</v>
      </c>
      <c r="AW41">
        <v>0</v>
      </c>
      <c r="AX41">
        <v>1</v>
      </c>
      <c r="AY41">
        <f t="shared" si="1"/>
        <v>1</v>
      </c>
      <c r="AZ41">
        <f t="shared" si="2"/>
        <v>0</v>
      </c>
    </row>
    <row r="42" spans="3:52" x14ac:dyDescent="0.3">
      <c r="C42">
        <v>4</v>
      </c>
      <c r="D42">
        <v>1</v>
      </c>
      <c r="E42">
        <v>8</v>
      </c>
      <c r="F42">
        <v>1</v>
      </c>
      <c r="G42">
        <v>0</v>
      </c>
      <c r="H42">
        <v>0</v>
      </c>
      <c r="I42">
        <v>7</v>
      </c>
      <c r="AQ42">
        <v>12</v>
      </c>
      <c r="AR42">
        <v>1</v>
      </c>
      <c r="AS42">
        <v>3</v>
      </c>
      <c r="AT42">
        <v>0</v>
      </c>
      <c r="AU42">
        <v>7</v>
      </c>
      <c r="AV42">
        <v>10</v>
      </c>
      <c r="AW42">
        <v>0</v>
      </c>
      <c r="AX42">
        <v>1</v>
      </c>
      <c r="AY42">
        <f t="shared" si="1"/>
        <v>1</v>
      </c>
      <c r="AZ42">
        <f t="shared" si="2"/>
        <v>0</v>
      </c>
    </row>
    <row r="43" spans="3:52" x14ac:dyDescent="0.3">
      <c r="C43">
        <v>4</v>
      </c>
      <c r="D43">
        <v>2</v>
      </c>
      <c r="E43">
        <v>9</v>
      </c>
      <c r="F43">
        <v>1</v>
      </c>
      <c r="G43">
        <v>0</v>
      </c>
      <c r="H43">
        <v>4</v>
      </c>
      <c r="I43">
        <v>0</v>
      </c>
      <c r="AQ43">
        <v>12</v>
      </c>
      <c r="AR43">
        <v>2</v>
      </c>
      <c r="AS43">
        <v>6</v>
      </c>
      <c r="AT43">
        <v>4</v>
      </c>
      <c r="AU43">
        <v>0</v>
      </c>
      <c r="AV43">
        <v>10</v>
      </c>
      <c r="AW43">
        <v>0</v>
      </c>
      <c r="AX43">
        <v>3</v>
      </c>
      <c r="AY43">
        <f t="shared" si="1"/>
        <v>1</v>
      </c>
      <c r="AZ43">
        <f t="shared" si="2"/>
        <v>1</v>
      </c>
    </row>
    <row r="44" spans="3:52" x14ac:dyDescent="0.3">
      <c r="C44">
        <v>4</v>
      </c>
      <c r="D44">
        <v>3</v>
      </c>
      <c r="E44">
        <v>10</v>
      </c>
      <c r="F44">
        <v>0</v>
      </c>
      <c r="G44">
        <v>3</v>
      </c>
      <c r="H44">
        <v>0</v>
      </c>
      <c r="I44">
        <v>4</v>
      </c>
      <c r="AQ44">
        <v>12</v>
      </c>
      <c r="AR44">
        <v>3</v>
      </c>
      <c r="AS44">
        <v>10</v>
      </c>
      <c r="AT44">
        <v>3</v>
      </c>
      <c r="AU44">
        <v>0</v>
      </c>
      <c r="AV44">
        <v>0</v>
      </c>
      <c r="AW44">
        <v>3</v>
      </c>
      <c r="AX44">
        <v>2</v>
      </c>
      <c r="AY44">
        <f t="shared" si="1"/>
        <v>0</v>
      </c>
      <c r="AZ44">
        <f t="shared" si="2"/>
        <v>1</v>
      </c>
    </row>
    <row r="45" spans="3:52" x14ac:dyDescent="0.3">
      <c r="C45">
        <v>5</v>
      </c>
      <c r="D45">
        <v>1</v>
      </c>
      <c r="E45">
        <v>1</v>
      </c>
      <c r="F45">
        <v>9</v>
      </c>
      <c r="G45">
        <v>0</v>
      </c>
      <c r="H45">
        <v>0</v>
      </c>
      <c r="I45">
        <v>2</v>
      </c>
      <c r="AQ45">
        <v>13</v>
      </c>
      <c r="AR45">
        <v>1</v>
      </c>
      <c r="AS45">
        <v>3</v>
      </c>
      <c r="AT45">
        <v>1</v>
      </c>
      <c r="AU45">
        <v>0</v>
      </c>
      <c r="AV45">
        <v>7</v>
      </c>
      <c r="AW45">
        <v>0</v>
      </c>
      <c r="AX45">
        <v>1</v>
      </c>
      <c r="AY45">
        <f t="shared" si="1"/>
        <v>1</v>
      </c>
      <c r="AZ45">
        <f t="shared" si="2"/>
        <v>0</v>
      </c>
    </row>
    <row r="46" spans="3:52" x14ac:dyDescent="0.3">
      <c r="C46">
        <v>5</v>
      </c>
      <c r="D46">
        <v>2</v>
      </c>
      <c r="E46">
        <v>8</v>
      </c>
      <c r="F46">
        <v>6</v>
      </c>
      <c r="G46">
        <v>0</v>
      </c>
      <c r="H46">
        <v>0</v>
      </c>
      <c r="I46">
        <v>2</v>
      </c>
      <c r="AQ46">
        <v>13</v>
      </c>
      <c r="AR46">
        <v>2</v>
      </c>
      <c r="AS46">
        <v>3</v>
      </c>
      <c r="AT46">
        <v>1</v>
      </c>
      <c r="AU46">
        <v>0</v>
      </c>
      <c r="AV46">
        <v>0</v>
      </c>
      <c r="AW46">
        <v>9</v>
      </c>
      <c r="AX46">
        <v>3</v>
      </c>
      <c r="AY46">
        <f t="shared" si="1"/>
        <v>1</v>
      </c>
      <c r="AZ46">
        <f t="shared" si="2"/>
        <v>1</v>
      </c>
    </row>
    <row r="47" spans="3:52" x14ac:dyDescent="0.3">
      <c r="C47">
        <v>5</v>
      </c>
      <c r="D47">
        <v>3</v>
      </c>
      <c r="E47">
        <v>9</v>
      </c>
      <c r="F47">
        <v>4</v>
      </c>
      <c r="G47">
        <v>0</v>
      </c>
      <c r="H47">
        <v>0</v>
      </c>
      <c r="I47">
        <v>1</v>
      </c>
      <c r="AQ47">
        <v>13</v>
      </c>
      <c r="AR47">
        <v>3</v>
      </c>
      <c r="AS47">
        <v>10</v>
      </c>
      <c r="AT47">
        <v>0</v>
      </c>
      <c r="AU47">
        <v>9</v>
      </c>
      <c r="AV47">
        <v>0</v>
      </c>
      <c r="AW47">
        <v>9</v>
      </c>
      <c r="AX47">
        <v>2</v>
      </c>
      <c r="AY47">
        <f t="shared" si="1"/>
        <v>0</v>
      </c>
      <c r="AZ47">
        <f t="shared" si="2"/>
        <v>1</v>
      </c>
    </row>
    <row r="48" spans="3:52" x14ac:dyDescent="0.3">
      <c r="C48">
        <v>6</v>
      </c>
      <c r="D48">
        <v>1</v>
      </c>
      <c r="E48">
        <v>5</v>
      </c>
      <c r="F48">
        <v>4</v>
      </c>
      <c r="G48">
        <v>0</v>
      </c>
      <c r="H48">
        <v>5</v>
      </c>
      <c r="I48">
        <v>0</v>
      </c>
      <c r="AQ48">
        <v>14</v>
      </c>
      <c r="AR48">
        <v>1</v>
      </c>
      <c r="AS48">
        <v>1</v>
      </c>
      <c r="AT48">
        <v>8</v>
      </c>
      <c r="AU48">
        <v>0</v>
      </c>
      <c r="AV48">
        <v>0</v>
      </c>
      <c r="AW48">
        <v>9</v>
      </c>
      <c r="AX48">
        <v>1</v>
      </c>
      <c r="AY48">
        <f t="shared" si="1"/>
        <v>1</v>
      </c>
      <c r="AZ48">
        <f t="shared" si="2"/>
        <v>0</v>
      </c>
    </row>
    <row r="49" spans="3:52" x14ac:dyDescent="0.3">
      <c r="C49">
        <v>6</v>
      </c>
      <c r="D49">
        <v>2</v>
      </c>
      <c r="E49">
        <v>6</v>
      </c>
      <c r="F49">
        <v>3</v>
      </c>
      <c r="G49">
        <v>0</v>
      </c>
      <c r="H49">
        <v>5</v>
      </c>
      <c r="I49">
        <v>0</v>
      </c>
      <c r="AQ49">
        <v>14</v>
      </c>
      <c r="AR49">
        <v>2</v>
      </c>
      <c r="AS49">
        <v>1</v>
      </c>
      <c r="AT49">
        <v>0</v>
      </c>
      <c r="AU49">
        <v>9</v>
      </c>
      <c r="AV49">
        <v>0</v>
      </c>
      <c r="AW49">
        <v>10</v>
      </c>
      <c r="AX49">
        <v>2</v>
      </c>
      <c r="AY49">
        <f t="shared" si="1"/>
        <v>0</v>
      </c>
      <c r="AZ49">
        <f t="shared" si="2"/>
        <v>1</v>
      </c>
    </row>
    <row r="50" spans="3:52" x14ac:dyDescent="0.3">
      <c r="C50">
        <v>6</v>
      </c>
      <c r="D50">
        <v>3</v>
      </c>
      <c r="E50">
        <v>7</v>
      </c>
      <c r="F50">
        <v>3</v>
      </c>
      <c r="G50">
        <v>0</v>
      </c>
      <c r="H50">
        <v>0</v>
      </c>
      <c r="I50">
        <v>5</v>
      </c>
      <c r="AQ50">
        <v>14</v>
      </c>
      <c r="AR50">
        <v>3</v>
      </c>
      <c r="AS50">
        <v>4</v>
      </c>
      <c r="AT50">
        <v>0</v>
      </c>
      <c r="AU50">
        <v>8</v>
      </c>
      <c r="AV50">
        <v>0</v>
      </c>
      <c r="AW50">
        <v>7</v>
      </c>
      <c r="AX50">
        <v>3</v>
      </c>
      <c r="AY50">
        <f t="shared" si="1"/>
        <v>1</v>
      </c>
      <c r="AZ50">
        <f t="shared" si="2"/>
        <v>1</v>
      </c>
    </row>
    <row r="51" spans="3:52" x14ac:dyDescent="0.3">
      <c r="C51">
        <v>7</v>
      </c>
      <c r="D51">
        <v>1</v>
      </c>
      <c r="E51">
        <v>4</v>
      </c>
      <c r="F51">
        <v>10</v>
      </c>
      <c r="G51">
        <v>0</v>
      </c>
      <c r="H51">
        <v>0</v>
      </c>
      <c r="I51">
        <v>6</v>
      </c>
      <c r="AQ51">
        <v>15</v>
      </c>
      <c r="AR51">
        <v>1</v>
      </c>
      <c r="AS51">
        <v>1</v>
      </c>
      <c r="AT51">
        <v>0</v>
      </c>
      <c r="AU51">
        <v>6</v>
      </c>
      <c r="AV51">
        <v>0</v>
      </c>
      <c r="AW51">
        <v>9</v>
      </c>
      <c r="AX51">
        <v>2</v>
      </c>
      <c r="AY51">
        <f t="shared" si="1"/>
        <v>0</v>
      </c>
      <c r="AZ51">
        <f t="shared" si="2"/>
        <v>1</v>
      </c>
    </row>
    <row r="52" spans="3:52" x14ac:dyDescent="0.3">
      <c r="C52">
        <v>7</v>
      </c>
      <c r="D52">
        <v>2</v>
      </c>
      <c r="E52">
        <v>7</v>
      </c>
      <c r="F52">
        <v>7</v>
      </c>
      <c r="G52">
        <v>0</v>
      </c>
      <c r="H52">
        <v>0</v>
      </c>
      <c r="I52">
        <v>6</v>
      </c>
      <c r="AQ52">
        <v>15</v>
      </c>
      <c r="AR52">
        <v>2</v>
      </c>
      <c r="AS52">
        <v>5</v>
      </c>
      <c r="AT52">
        <v>8</v>
      </c>
      <c r="AU52">
        <v>0</v>
      </c>
      <c r="AV52">
        <v>0</v>
      </c>
      <c r="AW52">
        <v>1</v>
      </c>
      <c r="AX52">
        <v>3</v>
      </c>
      <c r="AY52">
        <f t="shared" si="1"/>
        <v>1</v>
      </c>
      <c r="AZ52">
        <f t="shared" si="2"/>
        <v>1</v>
      </c>
    </row>
    <row r="53" spans="3:52" x14ac:dyDescent="0.3">
      <c r="C53">
        <v>7</v>
      </c>
      <c r="D53">
        <v>3</v>
      </c>
      <c r="E53">
        <v>10</v>
      </c>
      <c r="F53">
        <v>3</v>
      </c>
      <c r="G53">
        <v>0</v>
      </c>
      <c r="H53">
        <v>10</v>
      </c>
      <c r="I53">
        <v>0</v>
      </c>
      <c r="AQ53">
        <v>15</v>
      </c>
      <c r="AR53">
        <v>3</v>
      </c>
      <c r="AS53">
        <v>10</v>
      </c>
      <c r="AT53">
        <v>7</v>
      </c>
      <c r="AU53">
        <v>0</v>
      </c>
      <c r="AV53">
        <v>7</v>
      </c>
      <c r="AW53">
        <v>0</v>
      </c>
      <c r="AX53">
        <v>1</v>
      </c>
      <c r="AY53">
        <f t="shared" si="1"/>
        <v>1</v>
      </c>
      <c r="AZ53">
        <f t="shared" si="2"/>
        <v>0</v>
      </c>
    </row>
    <row r="54" spans="3:52" x14ac:dyDescent="0.3">
      <c r="C54">
        <v>8</v>
      </c>
      <c r="D54">
        <v>1</v>
      </c>
      <c r="E54">
        <v>1</v>
      </c>
      <c r="F54">
        <v>0</v>
      </c>
      <c r="G54">
        <v>7</v>
      </c>
      <c r="H54">
        <v>2</v>
      </c>
      <c r="I54">
        <v>0</v>
      </c>
      <c r="AQ54">
        <v>16</v>
      </c>
      <c r="AR54">
        <v>1</v>
      </c>
      <c r="AS54">
        <v>3</v>
      </c>
      <c r="AT54">
        <v>0</v>
      </c>
      <c r="AU54">
        <v>9</v>
      </c>
      <c r="AV54">
        <v>4</v>
      </c>
      <c r="AW54">
        <v>0</v>
      </c>
      <c r="AX54">
        <v>3</v>
      </c>
      <c r="AY54">
        <f t="shared" si="1"/>
        <v>1</v>
      </c>
      <c r="AZ54">
        <f t="shared" si="2"/>
        <v>1</v>
      </c>
    </row>
    <row r="55" spans="3:52" x14ac:dyDescent="0.3">
      <c r="C55">
        <v>8</v>
      </c>
      <c r="D55">
        <v>2</v>
      </c>
      <c r="E55">
        <v>4</v>
      </c>
      <c r="F55">
        <v>0</v>
      </c>
      <c r="G55">
        <v>6</v>
      </c>
      <c r="H55">
        <v>1</v>
      </c>
      <c r="I55">
        <v>0</v>
      </c>
      <c r="AQ55">
        <v>16</v>
      </c>
      <c r="AR55">
        <v>2</v>
      </c>
      <c r="AS55">
        <v>10</v>
      </c>
      <c r="AT55">
        <v>8</v>
      </c>
      <c r="AU55">
        <v>0</v>
      </c>
      <c r="AV55">
        <v>3</v>
      </c>
      <c r="AW55">
        <v>0</v>
      </c>
      <c r="AX55">
        <v>3</v>
      </c>
      <c r="AY55">
        <f t="shared" si="1"/>
        <v>1</v>
      </c>
      <c r="AZ55">
        <f t="shared" si="2"/>
        <v>1</v>
      </c>
    </row>
    <row r="56" spans="3:52" x14ac:dyDescent="0.3">
      <c r="C56">
        <v>8</v>
      </c>
      <c r="D56">
        <v>3</v>
      </c>
      <c r="E56">
        <v>7</v>
      </c>
      <c r="F56">
        <v>0</v>
      </c>
      <c r="G56">
        <v>3</v>
      </c>
      <c r="H56">
        <v>0</v>
      </c>
      <c r="I56">
        <v>1</v>
      </c>
      <c r="AQ56">
        <v>16</v>
      </c>
      <c r="AR56">
        <v>3</v>
      </c>
      <c r="AS56">
        <v>10</v>
      </c>
      <c r="AT56">
        <v>8</v>
      </c>
      <c r="AU56">
        <v>0</v>
      </c>
      <c r="AV56">
        <v>0</v>
      </c>
      <c r="AW56">
        <v>3</v>
      </c>
      <c r="AX56">
        <v>3</v>
      </c>
      <c r="AY56">
        <f t="shared" si="1"/>
        <v>1</v>
      </c>
      <c r="AZ56">
        <f t="shared" si="2"/>
        <v>1</v>
      </c>
    </row>
    <row r="57" spans="3:52" x14ac:dyDescent="0.3">
      <c r="C57">
        <v>9</v>
      </c>
      <c r="D57">
        <v>1</v>
      </c>
      <c r="E57">
        <v>4</v>
      </c>
      <c r="F57">
        <v>0</v>
      </c>
      <c r="G57">
        <v>4</v>
      </c>
      <c r="H57">
        <v>0</v>
      </c>
      <c r="I57">
        <v>7</v>
      </c>
      <c r="AQ57">
        <v>17</v>
      </c>
      <c r="AR57">
        <v>1</v>
      </c>
      <c r="AS57">
        <v>1</v>
      </c>
      <c r="AT57">
        <v>0</v>
      </c>
      <c r="AU57">
        <v>10</v>
      </c>
      <c r="AV57">
        <v>1</v>
      </c>
      <c r="AW57">
        <v>0</v>
      </c>
      <c r="AX57">
        <v>3</v>
      </c>
      <c r="AY57">
        <f t="shared" si="1"/>
        <v>1</v>
      </c>
      <c r="AZ57">
        <f t="shared" si="2"/>
        <v>1</v>
      </c>
    </row>
    <row r="58" spans="3:52" x14ac:dyDescent="0.3">
      <c r="C58">
        <v>9</v>
      </c>
      <c r="D58">
        <v>2</v>
      </c>
      <c r="E58">
        <v>4</v>
      </c>
      <c r="F58">
        <v>6</v>
      </c>
      <c r="G58">
        <v>0</v>
      </c>
      <c r="H58">
        <v>10</v>
      </c>
      <c r="I58">
        <v>0</v>
      </c>
      <c r="AQ58">
        <v>17</v>
      </c>
      <c r="AR58">
        <v>2</v>
      </c>
      <c r="AS58">
        <v>4</v>
      </c>
      <c r="AT58">
        <v>7</v>
      </c>
      <c r="AU58">
        <v>0</v>
      </c>
      <c r="AV58">
        <v>0</v>
      </c>
      <c r="AW58">
        <v>6</v>
      </c>
      <c r="AX58">
        <v>3</v>
      </c>
      <c r="AY58">
        <f t="shared" si="1"/>
        <v>1</v>
      </c>
      <c r="AZ58">
        <f t="shared" si="2"/>
        <v>1</v>
      </c>
    </row>
    <row r="59" spans="3:52" x14ac:dyDescent="0.3">
      <c r="C59">
        <v>9</v>
      </c>
      <c r="D59">
        <v>3</v>
      </c>
      <c r="E59">
        <v>7</v>
      </c>
      <c r="F59">
        <v>6</v>
      </c>
      <c r="G59">
        <v>0</v>
      </c>
      <c r="H59">
        <v>0</v>
      </c>
      <c r="I59">
        <v>7</v>
      </c>
      <c r="AQ59">
        <v>17</v>
      </c>
      <c r="AR59">
        <v>3</v>
      </c>
      <c r="AS59">
        <v>6</v>
      </c>
      <c r="AT59">
        <v>0</v>
      </c>
      <c r="AU59">
        <v>10</v>
      </c>
      <c r="AV59">
        <v>0</v>
      </c>
      <c r="AW59">
        <v>4</v>
      </c>
      <c r="AX59">
        <v>2</v>
      </c>
      <c r="AY59">
        <f t="shared" si="1"/>
        <v>0</v>
      </c>
      <c r="AZ59">
        <f t="shared" si="2"/>
        <v>1</v>
      </c>
    </row>
    <row r="60" spans="3:52" x14ac:dyDescent="0.3">
      <c r="C60">
        <v>10</v>
      </c>
      <c r="D60">
        <v>1</v>
      </c>
      <c r="E60">
        <v>1</v>
      </c>
      <c r="F60">
        <v>0</v>
      </c>
      <c r="G60">
        <v>8</v>
      </c>
      <c r="H60">
        <v>8</v>
      </c>
      <c r="I60">
        <v>0</v>
      </c>
      <c r="AQ60">
        <v>18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3</v>
      </c>
      <c r="AY60">
        <f t="shared" si="1"/>
        <v>1</v>
      </c>
      <c r="AZ60">
        <f t="shared" si="2"/>
        <v>1</v>
      </c>
    </row>
    <row r="61" spans="3:52" x14ac:dyDescent="0.3">
      <c r="C61">
        <v>10</v>
      </c>
      <c r="D61">
        <v>2</v>
      </c>
      <c r="E61">
        <v>2</v>
      </c>
      <c r="F61">
        <v>3</v>
      </c>
      <c r="G61">
        <v>0</v>
      </c>
      <c r="H61">
        <v>0</v>
      </c>
      <c r="I61">
        <v>10</v>
      </c>
    </row>
    <row r="62" spans="3:52" x14ac:dyDescent="0.3">
      <c r="C62">
        <v>10</v>
      </c>
      <c r="D62">
        <v>3</v>
      </c>
      <c r="E62">
        <v>3</v>
      </c>
      <c r="F62">
        <v>3</v>
      </c>
      <c r="G62">
        <v>0</v>
      </c>
      <c r="H62">
        <v>5</v>
      </c>
      <c r="I62">
        <v>0</v>
      </c>
    </row>
    <row r="63" spans="3:52" x14ac:dyDescent="0.3">
      <c r="C63">
        <v>11</v>
      </c>
      <c r="D63">
        <v>1</v>
      </c>
      <c r="E63">
        <v>2</v>
      </c>
      <c r="F63">
        <v>9</v>
      </c>
      <c r="G63">
        <v>0</v>
      </c>
      <c r="H63">
        <v>0</v>
      </c>
      <c r="I63">
        <v>1</v>
      </c>
    </row>
    <row r="64" spans="3:52" x14ac:dyDescent="0.3">
      <c r="C64">
        <v>11</v>
      </c>
      <c r="D64">
        <v>2</v>
      </c>
      <c r="E64">
        <v>4</v>
      </c>
      <c r="F64">
        <v>0</v>
      </c>
      <c r="G64">
        <v>4</v>
      </c>
      <c r="H64">
        <v>3</v>
      </c>
      <c r="I64">
        <v>0</v>
      </c>
    </row>
    <row r="65" spans="3:9" x14ac:dyDescent="0.3">
      <c r="C65">
        <v>11</v>
      </c>
      <c r="D65">
        <v>3</v>
      </c>
      <c r="E65">
        <v>6</v>
      </c>
      <c r="F65">
        <v>0</v>
      </c>
      <c r="G65">
        <v>4</v>
      </c>
      <c r="H65">
        <v>1</v>
      </c>
      <c r="I65">
        <v>0</v>
      </c>
    </row>
    <row r="66" spans="3:9" x14ac:dyDescent="0.3">
      <c r="C66">
        <v>12</v>
      </c>
      <c r="D66">
        <v>1</v>
      </c>
      <c r="E66">
        <v>3</v>
      </c>
      <c r="F66">
        <v>0</v>
      </c>
      <c r="G66">
        <v>7</v>
      </c>
      <c r="H66">
        <v>10</v>
      </c>
      <c r="I66">
        <v>0</v>
      </c>
    </row>
    <row r="67" spans="3:9" x14ac:dyDescent="0.3">
      <c r="C67">
        <v>12</v>
      </c>
      <c r="D67">
        <v>2</v>
      </c>
      <c r="E67">
        <v>6</v>
      </c>
      <c r="F67">
        <v>4</v>
      </c>
      <c r="G67">
        <v>0</v>
      </c>
      <c r="H67">
        <v>10</v>
      </c>
      <c r="I67">
        <v>0</v>
      </c>
    </row>
    <row r="68" spans="3:9" x14ac:dyDescent="0.3">
      <c r="C68">
        <v>12</v>
      </c>
      <c r="D68">
        <v>3</v>
      </c>
      <c r="E68">
        <v>10</v>
      </c>
      <c r="F68">
        <v>3</v>
      </c>
      <c r="G68">
        <v>0</v>
      </c>
      <c r="H68">
        <v>0</v>
      </c>
      <c r="I68">
        <v>3</v>
      </c>
    </row>
    <row r="69" spans="3:9" x14ac:dyDescent="0.3">
      <c r="C69">
        <v>13</v>
      </c>
      <c r="D69">
        <v>1</v>
      </c>
      <c r="E69">
        <v>3</v>
      </c>
      <c r="F69">
        <v>1</v>
      </c>
      <c r="G69">
        <v>0</v>
      </c>
      <c r="H69">
        <v>7</v>
      </c>
      <c r="I69">
        <v>0</v>
      </c>
    </row>
    <row r="70" spans="3:9" x14ac:dyDescent="0.3">
      <c r="C70">
        <v>13</v>
      </c>
      <c r="D70">
        <v>2</v>
      </c>
      <c r="E70">
        <v>3</v>
      </c>
      <c r="F70">
        <v>1</v>
      </c>
      <c r="G70">
        <v>0</v>
      </c>
      <c r="H70">
        <v>0</v>
      </c>
      <c r="I70">
        <v>9</v>
      </c>
    </row>
    <row r="71" spans="3:9" x14ac:dyDescent="0.3">
      <c r="C71">
        <v>13</v>
      </c>
      <c r="D71">
        <v>3</v>
      </c>
      <c r="E71">
        <v>10</v>
      </c>
      <c r="F71">
        <v>0</v>
      </c>
      <c r="G71">
        <v>9</v>
      </c>
      <c r="H71">
        <v>0</v>
      </c>
      <c r="I71">
        <v>9</v>
      </c>
    </row>
    <row r="72" spans="3:9" x14ac:dyDescent="0.3">
      <c r="C72">
        <v>14</v>
      </c>
      <c r="D72">
        <v>1</v>
      </c>
      <c r="E72">
        <v>1</v>
      </c>
      <c r="F72">
        <v>8</v>
      </c>
      <c r="G72">
        <v>0</v>
      </c>
      <c r="H72">
        <v>0</v>
      </c>
      <c r="I72">
        <v>9</v>
      </c>
    </row>
    <row r="73" spans="3:9" x14ac:dyDescent="0.3">
      <c r="C73">
        <v>14</v>
      </c>
      <c r="D73">
        <v>2</v>
      </c>
      <c r="E73">
        <v>1</v>
      </c>
      <c r="F73">
        <v>0</v>
      </c>
      <c r="G73">
        <v>9</v>
      </c>
      <c r="H73">
        <v>0</v>
      </c>
      <c r="I73">
        <v>10</v>
      </c>
    </row>
    <row r="74" spans="3:9" x14ac:dyDescent="0.3">
      <c r="C74">
        <v>14</v>
      </c>
      <c r="D74">
        <v>3</v>
      </c>
      <c r="E74">
        <v>4</v>
      </c>
      <c r="F74">
        <v>0</v>
      </c>
      <c r="G74">
        <v>8</v>
      </c>
      <c r="H74">
        <v>0</v>
      </c>
      <c r="I74">
        <v>7</v>
      </c>
    </row>
    <row r="75" spans="3:9" x14ac:dyDescent="0.3">
      <c r="C75">
        <v>15</v>
      </c>
      <c r="D75">
        <v>1</v>
      </c>
      <c r="E75">
        <v>1</v>
      </c>
      <c r="F75">
        <v>0</v>
      </c>
      <c r="G75">
        <v>6</v>
      </c>
      <c r="H75">
        <v>0</v>
      </c>
      <c r="I75">
        <v>9</v>
      </c>
    </row>
    <row r="76" spans="3:9" x14ac:dyDescent="0.3">
      <c r="C76">
        <v>15</v>
      </c>
      <c r="D76">
        <v>2</v>
      </c>
      <c r="E76">
        <v>5</v>
      </c>
      <c r="F76">
        <v>8</v>
      </c>
      <c r="G76">
        <v>0</v>
      </c>
      <c r="H76">
        <v>0</v>
      </c>
      <c r="I76">
        <v>1</v>
      </c>
    </row>
    <row r="77" spans="3:9" x14ac:dyDescent="0.3">
      <c r="C77">
        <v>15</v>
      </c>
      <c r="D77">
        <v>3</v>
      </c>
      <c r="E77">
        <v>10</v>
      </c>
      <c r="F77">
        <v>7</v>
      </c>
      <c r="G77">
        <v>0</v>
      </c>
      <c r="H77">
        <v>7</v>
      </c>
      <c r="I77">
        <v>0</v>
      </c>
    </row>
    <row r="78" spans="3:9" x14ac:dyDescent="0.3">
      <c r="C78">
        <v>16</v>
      </c>
      <c r="D78">
        <v>1</v>
      </c>
      <c r="E78">
        <v>3</v>
      </c>
      <c r="F78">
        <v>0</v>
      </c>
      <c r="G78">
        <v>9</v>
      </c>
      <c r="H78">
        <v>4</v>
      </c>
      <c r="I78">
        <v>0</v>
      </c>
    </row>
    <row r="79" spans="3:9" x14ac:dyDescent="0.3">
      <c r="C79">
        <v>16</v>
      </c>
      <c r="D79">
        <v>2</v>
      </c>
      <c r="E79">
        <v>10</v>
      </c>
      <c r="F79">
        <v>8</v>
      </c>
      <c r="G79">
        <v>0</v>
      </c>
      <c r="H79">
        <v>3</v>
      </c>
      <c r="I79">
        <v>0</v>
      </c>
    </row>
    <row r="80" spans="3:9" x14ac:dyDescent="0.3">
      <c r="C80">
        <v>16</v>
      </c>
      <c r="D80">
        <v>3</v>
      </c>
      <c r="E80">
        <v>10</v>
      </c>
      <c r="F80">
        <v>8</v>
      </c>
      <c r="G80">
        <v>0</v>
      </c>
      <c r="H80">
        <v>0</v>
      </c>
      <c r="I80">
        <v>3</v>
      </c>
    </row>
    <row r="81" spans="3:9" x14ac:dyDescent="0.3">
      <c r="C81">
        <v>17</v>
      </c>
      <c r="D81">
        <v>1</v>
      </c>
      <c r="E81">
        <v>1</v>
      </c>
      <c r="F81">
        <v>0</v>
      </c>
      <c r="G81">
        <v>10</v>
      </c>
      <c r="H81">
        <v>1</v>
      </c>
      <c r="I81">
        <v>0</v>
      </c>
    </row>
    <row r="82" spans="3:9" x14ac:dyDescent="0.3">
      <c r="C82">
        <v>17</v>
      </c>
      <c r="D82">
        <v>2</v>
      </c>
      <c r="E82">
        <v>4</v>
      </c>
      <c r="F82">
        <v>7</v>
      </c>
      <c r="G82">
        <v>0</v>
      </c>
      <c r="H82">
        <v>0</v>
      </c>
      <c r="I82">
        <v>6</v>
      </c>
    </row>
    <row r="83" spans="3:9" x14ac:dyDescent="0.3">
      <c r="C83">
        <v>17</v>
      </c>
      <c r="D83">
        <v>3</v>
      </c>
      <c r="E83">
        <v>6</v>
      </c>
      <c r="F83">
        <v>0</v>
      </c>
      <c r="G83">
        <v>10</v>
      </c>
      <c r="H83">
        <v>0</v>
      </c>
      <c r="I83">
        <v>4</v>
      </c>
    </row>
    <row r="84" spans="3:9" x14ac:dyDescent="0.3">
      <c r="C84">
        <v>18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</row>
    <row r="88" spans="3:9" x14ac:dyDescent="0.3">
      <c r="C88" t="s">
        <v>17</v>
      </c>
    </row>
    <row r="89" spans="3:9" x14ac:dyDescent="0.3">
      <c r="C89" t="s">
        <v>58</v>
      </c>
      <c r="D89" t="s">
        <v>59</v>
      </c>
      <c r="E89" t="s">
        <v>60</v>
      </c>
      <c r="F89" t="s">
        <v>61</v>
      </c>
    </row>
    <row r="90" spans="3:9" x14ac:dyDescent="0.3">
      <c r="C90">
        <v>9</v>
      </c>
      <c r="D90">
        <v>9</v>
      </c>
      <c r="E90">
        <v>41</v>
      </c>
      <c r="F90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89545-B323-46A9-97ED-BA106D27EB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23</vt:i4>
      </vt:variant>
    </vt:vector>
  </HeadingPairs>
  <TitlesOfParts>
    <vt:vector size="28" baseType="lpstr">
      <vt:lpstr>TVM</vt:lpstr>
      <vt:lpstr>Sheet2</vt:lpstr>
      <vt:lpstr>j309-3</vt:lpstr>
      <vt:lpstr>mm</vt:lpstr>
      <vt:lpstr>c159-2</vt:lpstr>
      <vt:lpstr>Cost</vt:lpstr>
      <vt:lpstr>Durations</vt:lpstr>
      <vt:lpstr>Horizon</vt:lpstr>
      <vt:lpstr>InfR</vt:lpstr>
      <vt:lpstr>IntR</vt:lpstr>
      <vt:lpstr>maxRes</vt:lpstr>
      <vt:lpstr>mmduration</vt:lpstr>
      <vt:lpstr>mmhorizon</vt:lpstr>
      <vt:lpstr>mmkind</vt:lpstr>
      <vt:lpstr>mmmrn</vt:lpstr>
      <vt:lpstr>mmmrnn</vt:lpstr>
      <vt:lpstr>mmnmode</vt:lpstr>
      <vt:lpstr>mmnnrr</vt:lpstr>
      <vt:lpstr>mmnrr</vt:lpstr>
      <vt:lpstr>mmntask</vt:lpstr>
      <vt:lpstr>mmpd</vt:lpstr>
      <vt:lpstr>mmtempk</vt:lpstr>
      <vt:lpstr>mmtempn</vt:lpstr>
      <vt:lpstr>mmtempr</vt:lpstr>
      <vt:lpstr>nActivities</vt:lpstr>
      <vt:lpstr>nResource</vt:lpstr>
      <vt:lpstr>Pre</vt:lpstr>
      <vt:lpstr>ReqRes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atabaki</dc:creator>
  <cp:lastModifiedBy>ali atabaki</cp:lastModifiedBy>
  <dcterms:created xsi:type="dcterms:W3CDTF">2015-06-05T18:17:20Z</dcterms:created>
  <dcterms:modified xsi:type="dcterms:W3CDTF">2025-11-23T19:48:08Z</dcterms:modified>
</cp:coreProperties>
</file>